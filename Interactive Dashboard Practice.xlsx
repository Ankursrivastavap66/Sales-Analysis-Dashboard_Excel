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02C559AC-7578-4B84-BF7F-DA361053DAF9}" xr6:coauthVersionLast="47" xr6:coauthVersionMax="47" xr10:uidLastSave="{00000000-0000-0000-0000-000000000000}"/>
  <bookViews>
    <workbookView xWindow="-120" yWindow="-120" windowWidth="20730" windowHeight="11160" activeTab="2" xr2:uid="{BECDAA7B-CF1E-4389-861D-910939491ABB}"/>
  </bookViews>
  <sheets>
    <sheet name="Sheet3" sheetId="3" r:id="rId1"/>
    <sheet name="Sheet1" sheetId="1" r:id="rId2"/>
    <sheet name="Dashboard" sheetId="2" r:id="rId3"/>
  </sheets>
  <definedNames>
    <definedName name="_xlchart.v1.0" hidden="1">Sheet3!$S$5:$S$9</definedName>
    <definedName name="_xlchart.v1.1" hidden="1">Sheet3!$T$5:$T$9</definedName>
    <definedName name="_xlchart.v1.2" hidden="1">Sheet3!$S$5:$S$9</definedName>
    <definedName name="_xlchart.v1.3" hidden="1">Sheet3!$T$5:$T$9</definedName>
    <definedName name="_xlchart.v1.4" hidden="1">Sheet3!$S$5:$S$9</definedName>
    <definedName name="_xlchart.v1.5" hidden="1">Sheet3!$T$5:$T$9</definedName>
    <definedName name="_xlchart.v1.6" hidden="1">Sheet3!$M$4:$M$9</definedName>
    <definedName name="_xlchart.v1.7" hidden="1">Sheet3!$N$4:$N$9</definedName>
    <definedName name="Slicer_Category">#N/A</definedName>
    <definedName name="Slicer_Region">#N/A</definedName>
    <definedName name="Slicer_Yea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D18" i="3"/>
  <c r="C18" i="3"/>
  <c r="B18" i="3"/>
  <c r="E18" i="3"/>
  <c r="T6" i="3"/>
  <c r="T7" i="3"/>
  <c r="T8" i="3"/>
  <c r="T9" i="3"/>
  <c r="T5" i="3"/>
  <c r="N5" i="3"/>
  <c r="N7" i="3"/>
  <c r="N8" i="3"/>
  <c r="N6" i="3"/>
  <c r="N4" i="3"/>
  <c r="N9" i="3" l="1"/>
</calcChain>
</file>

<file path=xl/sharedStrings.xml><?xml version="1.0" encoding="utf-8"?>
<sst xmlns="http://schemas.openxmlformats.org/spreadsheetml/2006/main" count="4969" uniqueCount="1341">
  <si>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</si>
  <si>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</si>
  <si>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</si>
  <si>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</si>
  <si>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</si>
  <si>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</si>
  <si>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</si>
  <si>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</si>
  <si>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</si>
  <si>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</si>
  <si>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</si>
  <si>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</si>
  <si>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</si>
  <si>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</si>
  <si>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</si>
  <si>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</si>
  <si>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</si>
  <si>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</si>
  <si>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</si>
  <si>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</si>
  <si>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</si>
  <si>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</si>
  <si>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</si>
  <si>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</si>
  <si>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</si>
  <si>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</si>
  <si>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</si>
  <si>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</si>
  <si>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</si>
  <si>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</si>
  <si>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</si>
  <si>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</si>
  <si>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</si>
  <si>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</si>
  <si>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</si>
  <si>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</si>
  <si>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</si>
  <si>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</si>
  <si>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</si>
  <si>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</si>
  <si>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</si>
  <si>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</si>
  <si>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</si>
  <si>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</si>
  <si>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</si>
  <si>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</si>
  <si>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</si>
  <si>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</si>
  <si>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</si>
  <si>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</si>
  <si>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</si>
  <si>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</si>
  <si>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</si>
  <si>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</si>
  <si>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</si>
  <si>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</si>
  <si>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</si>
  <si>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</si>
  <si>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</si>
  <si>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</si>
  <si>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</si>
  <si>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</si>
  <si>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</si>
  <si>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</si>
  <si>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</si>
  <si>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</si>
  <si>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</si>
  <si>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</si>
  <si>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</si>
  <si>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</si>
  <si>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</si>
  <si>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</si>
  <si>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</si>
  <si>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</si>
  <si>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</si>
  <si>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</si>
  <si>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</si>
  <si>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</si>
  <si>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</si>
  <si>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</si>
  <si>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</si>
  <si>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</si>
  <si>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</si>
  <si>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</si>
  <si>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</si>
  <si>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</si>
  <si>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</si>
  <si>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</si>
  <si>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</si>
  <si>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</si>
  <si>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</si>
  <si>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</si>
  <si>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</si>
  <si>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</si>
  <si>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</si>
  <si>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</si>
  <si>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</si>
  <si>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</si>
  <si>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</si>
  <si>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</si>
  <si>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</si>
  <si>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</si>
  <si>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</si>
  <si>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</si>
  <si>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</si>
  <si>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</si>
  <si>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</si>
  <si>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</si>
  <si>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</si>
  <si>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</si>
  <si>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</si>
  <si>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</si>
  <si>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</si>
  <si>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</si>
  <si>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</si>
  <si>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</si>
  <si>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</si>
  <si>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</si>
  <si>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</si>
  <si>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</si>
  <si>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</si>
  <si>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</si>
  <si>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</si>
  <si>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</si>
  <si>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</si>
  <si>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</si>
  <si>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</si>
  <si>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</si>
  <si>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</si>
  <si>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</si>
  <si>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</si>
  <si>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</si>
  <si>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</si>
  <si>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</si>
  <si>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</si>
  <si>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</si>
  <si>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</si>
  <si>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</si>
  <si>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</si>
  <si>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</si>
  <si>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</si>
  <si>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</si>
  <si>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</si>
  <si>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</si>
  <si>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</si>
  <si>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</si>
  <si>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</si>
  <si>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</si>
  <si>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</si>
  <si>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</si>
  <si>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</si>
  <si>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</si>
  <si>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</si>
  <si>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</si>
  <si>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</si>
  <si>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</si>
  <si>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</si>
  <si>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</si>
  <si>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</si>
  <si>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</si>
  <si>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</si>
  <si>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</si>
  <si>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</si>
  <si>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</si>
  <si>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</si>
  <si>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</si>
  <si>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</si>
  <si>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</si>
  <si>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</si>
  <si>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</si>
  <si>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</si>
  <si>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</si>
  <si>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</si>
  <si>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</si>
  <si>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</si>
  <si>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</si>
  <si>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</si>
  <si>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</si>
  <si>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</si>
  <si>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</si>
  <si>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</si>
  <si>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</si>
  <si>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</si>
  <si>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</si>
  <si>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</si>
  <si>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</si>
  <si>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</si>
  <si>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</si>
  <si>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</si>
  <si>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</si>
  <si>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</si>
  <si>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</si>
  <si>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</si>
  <si>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</si>
  <si>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</si>
  <si>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</si>
  <si>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</si>
  <si>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</si>
  <si>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</si>
  <si>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</si>
  <si>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</si>
  <si>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</si>
  <si>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</si>
  <si>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</si>
  <si>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</si>
  <si>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</si>
  <si>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</si>
  <si>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</si>
  <si>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</si>
  <si>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</si>
  <si>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</si>
  <si>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</si>
  <si>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</si>
  <si>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</si>
  <si>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</si>
  <si>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</si>
  <si>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</si>
  <si>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</si>
  <si>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</si>
  <si>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</si>
  <si>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</si>
  <si>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</si>
  <si>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</si>
  <si>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</si>
  <si>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</si>
  <si>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</si>
  <si>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</si>
  <si>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</si>
  <si>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</si>
  <si>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</si>
  <si>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</si>
  <si>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</si>
  <si>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</si>
  <si>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</si>
  <si>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</si>
  <si>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</si>
  <si>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</si>
  <si>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</si>
  <si>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</si>
  <si>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</si>
  <si>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</si>
  <si>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</si>
  <si>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</si>
  <si>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</si>
  <si>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</si>
  <si>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</si>
  <si>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</si>
  <si>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</si>
  <si>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</si>
  <si>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</si>
  <si>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</si>
  <si>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</si>
  <si>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</si>
  <si>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</si>
  <si>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</si>
  <si>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</si>
  <si>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</si>
  <si>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</si>
  <si>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</si>
  <si>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</si>
  <si>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</si>
  <si>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</si>
  <si>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</si>
  <si>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</si>
  <si>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</si>
  <si>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</si>
  <si>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</si>
  <si>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</si>
  <si>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</si>
  <si>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</si>
  <si>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</si>
  <si>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</si>
  <si>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</si>
  <si>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</si>
  <si>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</si>
  <si>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</si>
  <si>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</si>
  <si>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</si>
  <si>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</si>
  <si>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</si>
  <si>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</si>
  <si>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</si>
  <si>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</si>
  <si>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</si>
  <si>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</si>
  <si>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</si>
  <si>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</si>
  <si>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</si>
  <si>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</si>
  <si>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</si>
  <si>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</si>
  <si>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</si>
  <si>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</si>
  <si>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</si>
  <si>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</si>
  <si>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</si>
  <si>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</si>
  <si>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</si>
  <si>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</si>
  <si>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</si>
  <si>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</si>
  <si>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</si>
  <si>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</si>
  <si>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</si>
  <si>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</si>
  <si>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</si>
  <si>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</si>
  <si>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</si>
  <si>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</si>
  <si>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</si>
  <si>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</si>
  <si>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</si>
  <si>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</si>
  <si>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</si>
  <si>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</si>
  <si>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</si>
  <si>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</si>
  <si>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</si>
  <si>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</si>
  <si>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</si>
  <si>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</si>
  <si>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</si>
  <si>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</si>
  <si>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</si>
  <si>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</si>
  <si>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</si>
  <si>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</si>
  <si>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</si>
  <si>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</si>
  <si>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</si>
  <si>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</si>
  <si>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</si>
  <si>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</si>
  <si>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</si>
  <si>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</si>
  <si>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</si>
  <si>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</si>
  <si>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</si>
  <si>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</si>
  <si>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</si>
  <si>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</si>
  <si>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</si>
  <si>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</si>
  <si>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</si>
  <si>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</si>
  <si>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</si>
  <si>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</si>
  <si>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</si>
  <si>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</si>
  <si>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</si>
  <si>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</si>
  <si>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</si>
  <si>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</si>
  <si>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</si>
  <si>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</si>
  <si>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</si>
  <si>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</si>
  <si>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</si>
  <si>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</si>
  <si>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</si>
  <si>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</si>
  <si>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</si>
  <si>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</si>
  <si>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</si>
  <si>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</si>
  <si>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</si>
  <si>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</si>
  <si>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</si>
  <si>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</si>
  <si>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</si>
  <si>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</si>
  <si>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</si>
  <si>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</si>
  <si>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</si>
  <si>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</si>
  <si>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</si>
  <si>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</si>
  <si>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</si>
  <si>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</si>
  <si>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</si>
  <si>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</si>
  <si>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</si>
  <si>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</si>
  <si>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</si>
  <si>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</si>
  <si>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</si>
  <si>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</si>
  <si>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</si>
  <si>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</si>
  <si>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</si>
  <si>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</si>
  <si>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</si>
  <si>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</si>
  <si>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</si>
  <si>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</si>
  <si>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</si>
  <si>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</si>
  <si>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</si>
  <si>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</si>
  <si>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</si>
  <si>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</si>
  <si>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</si>
  <si>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</si>
  <si>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</si>
  <si>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</si>
  <si>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</si>
  <si>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</si>
  <si>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</si>
  <si>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</si>
  <si>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</si>
  <si>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</si>
  <si>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</si>
  <si>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</si>
  <si>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</si>
  <si>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</si>
  <si>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</si>
  <si>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</si>
  <si>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</si>
  <si>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</si>
  <si>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</si>
  <si>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</si>
  <si>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</si>
  <si>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</si>
  <si>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</si>
  <si>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</si>
  <si>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</si>
  <si>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</si>
  <si>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</si>
  <si>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</si>
  <si>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</si>
  <si>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</si>
  <si>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</si>
  <si>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</si>
  <si>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</si>
  <si>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</si>
  <si>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</si>
  <si>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</si>
  <si>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</si>
  <si>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</si>
  <si>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</si>
  <si>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</si>
  <si>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</si>
  <si>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</si>
  <si>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</si>
  <si>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</si>
  <si>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</si>
  <si>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</si>
  <si>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</si>
  <si>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</si>
  <si>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</si>
  <si>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</si>
  <si>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</si>
  <si>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</si>
  <si>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</si>
  <si>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</si>
  <si>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</si>
  <si>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</si>
  <si>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</si>
  <si>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</si>
  <si>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</si>
  <si>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</si>
  <si>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</si>
  <si>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</si>
  <si>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</si>
  <si>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</si>
  <si>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</si>
  <si>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</si>
  <si>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</si>
  <si>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</si>
  <si>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</si>
  <si>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</si>
  <si>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</si>
  <si>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</si>
  <si>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</si>
  <si>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</si>
  <si>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</si>
  <si>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</si>
  <si>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</si>
  <si>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</si>
  <si>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</si>
  <si>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</si>
  <si>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</si>
  <si>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</si>
  <si>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</si>
  <si>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</si>
  <si>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</si>
  <si>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</si>
  <si>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</si>
  <si>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</si>
  <si>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</si>
  <si>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</si>
  <si>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</si>
  <si>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</si>
  <si>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</si>
  <si>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</si>
  <si>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</si>
  <si>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</si>
  <si>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</si>
  <si>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</si>
  <si>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</si>
  <si>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</si>
  <si>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</si>
  <si>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</si>
  <si>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</si>
  <si>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</si>
  <si>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</si>
  <si>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</si>
  <si>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</si>
  <si>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</si>
  <si>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</si>
  <si>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</si>
  <si>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</si>
  <si>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</si>
  <si>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</si>
  <si>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</si>
  <si>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</si>
  <si>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</si>
  <si>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</si>
  <si>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</si>
  <si>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</si>
  <si>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</si>
  <si>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</si>
  <si>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</si>
  <si>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</si>
  <si>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</si>
  <si>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</si>
  <si>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</si>
  <si>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</si>
  <si>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</si>
  <si>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</si>
  <si>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</si>
  <si>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</si>
  <si>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</si>
  <si>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</si>
  <si>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</si>
  <si>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</si>
  <si>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</si>
  <si>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</si>
  <si>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</si>
  <si>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</si>
  <si>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</si>
  <si>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</si>
  <si>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</si>
  <si>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</si>
  <si>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</si>
  <si>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</si>
  <si>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</si>
  <si>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</si>
  <si>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</si>
  <si>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</si>
  <si>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</si>
  <si>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</si>
  <si>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</si>
  <si>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</si>
  <si>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</si>
  <si>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</si>
  <si>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</si>
  <si>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</si>
  <si>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</si>
  <si>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</si>
  <si>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</si>
  <si>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</si>
  <si>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</si>
  <si>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</si>
  <si>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</si>
  <si>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</si>
  <si>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</si>
  <si>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</si>
  <si>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</si>
  <si>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</si>
  <si>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</si>
  <si>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</si>
  <si>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</si>
  <si>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</si>
  <si>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</si>
  <si>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</si>
  <si>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</si>
  <si>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</si>
  <si>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</si>
  <si>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</si>
  <si>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</si>
  <si>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</si>
  <si>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</si>
  <si>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</si>
  <si>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</si>
  <si>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</si>
  <si>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</si>
  <si>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</si>
  <si>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</si>
  <si>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</si>
  <si>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</si>
  <si>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</si>
  <si>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</si>
  <si>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</si>
  <si>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</si>
  <si>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</si>
  <si>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</si>
  <si>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</si>
  <si>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</si>
  <si>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</si>
  <si>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</si>
  <si>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</si>
  <si>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</si>
  <si>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</si>
  <si>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</si>
  <si>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</si>
  <si>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</si>
  <si>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</si>
  <si>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</si>
  <si>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</si>
  <si>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</si>
  <si>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</si>
  <si>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</si>
  <si>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</si>
  <si>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</si>
  <si>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</si>
  <si>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</si>
  <si>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</si>
  <si>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</si>
  <si>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</si>
  <si>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</si>
  <si>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</si>
  <si>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</si>
  <si>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</si>
  <si>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</si>
  <si>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</si>
  <si>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</si>
  <si>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</si>
  <si>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</si>
  <si>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</si>
  <si>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</si>
  <si>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</si>
  <si>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</si>
  <si>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</si>
  <si>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</si>
  <si>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</si>
  <si>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</si>
  <si>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</si>
  <si>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</si>
  <si>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</si>
  <si>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</si>
  <si>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</si>
  <si>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</si>
  <si>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</si>
  <si>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</si>
  <si>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</si>
  <si>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</si>
  <si>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</si>
  <si>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</si>
  <si>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</si>
  <si>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</si>
  <si>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</si>
  <si>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</si>
  <si>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</si>
  <si>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</si>
  <si>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</si>
  <si>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</si>
  <si>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</si>
  <si>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</si>
  <si>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</si>
  <si>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</si>
  <si>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</si>
  <si>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</si>
  <si>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</si>
  <si>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</si>
  <si>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</si>
  <si>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</si>
  <si>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</si>
  <si>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</si>
  <si>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</si>
  <si>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</si>
  <si>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</si>
  <si>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</si>
  <si>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</si>
  <si>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</si>
  <si>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</si>
  <si>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</si>
  <si>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</si>
  <si>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</si>
  <si>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</si>
  <si>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</si>
  <si>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</si>
  <si>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</si>
  <si>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</si>
  <si>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</si>
  <si>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</si>
  <si>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</si>
  <si>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</si>
  <si>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</si>
  <si>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</si>
  <si>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</si>
  <si>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</si>
  <si>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</si>
  <si>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</si>
  <si>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</si>
  <si>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</si>
  <si>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</si>
  <si>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</si>
  <si>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</si>
  <si>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</si>
  <si>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</si>
  <si>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</si>
  <si>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</si>
  <si>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</si>
  <si>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</si>
  <si>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</si>
  <si>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</si>
  <si>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</si>
  <si>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</si>
  <si>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</si>
  <si>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</si>
  <si>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</si>
  <si>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</si>
  <si>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</si>
  <si>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</si>
  <si>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</si>
  <si>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</si>
  <si>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</si>
  <si>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</si>
  <si>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</si>
  <si>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</si>
  <si>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</si>
  <si>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</si>
  <si>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</si>
  <si>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</si>
  <si>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</si>
  <si>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</si>
  <si>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</si>
  <si>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</si>
  <si>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</si>
  <si>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</si>
  <si>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</si>
  <si>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</si>
  <si>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</si>
  <si>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</si>
  <si>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</si>
  <si>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</si>
  <si>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</si>
  <si>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</si>
  <si>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</si>
  <si>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</si>
  <si>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</si>
  <si>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</si>
  <si>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</si>
  <si>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</si>
  <si>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</si>
  <si>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</si>
  <si>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</si>
  <si>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</si>
  <si>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</si>
  <si>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</si>
  <si>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</si>
  <si>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</si>
  <si>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</si>
  <si>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</si>
  <si>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</si>
  <si>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</si>
  <si>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</si>
  <si>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</si>
  <si>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</si>
  <si>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</si>
  <si>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</si>
  <si>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</si>
  <si>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</si>
  <si>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</si>
  <si>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</si>
  <si>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</si>
  <si>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</si>
  <si>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</si>
  <si>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</si>
  <si>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</si>
  <si>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</si>
  <si>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</si>
  <si>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</si>
  <si>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</si>
  <si>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</si>
  <si>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</si>
  <si>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</si>
  <si>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</si>
  <si>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</si>
  <si>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</si>
  <si>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</si>
  <si>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</si>
  <si>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</si>
  <si>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</si>
  <si>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</si>
  <si>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</si>
  <si>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</si>
  <si>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</si>
  <si>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</si>
  <si>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</si>
  <si>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</si>
  <si>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</si>
  <si>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</si>
  <si>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</si>
  <si>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</si>
  <si>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</si>
  <si>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</si>
  <si>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</si>
  <si>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</si>
  <si>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</si>
  <si>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</si>
  <si>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</si>
  <si>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</si>
  <si>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</si>
  <si>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</si>
  <si>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</si>
  <si>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</si>
  <si>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</si>
  <si>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</si>
  <si>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</si>
  <si>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</si>
  <si>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</si>
  <si>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</si>
  <si>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</si>
  <si>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</si>
  <si>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</si>
  <si>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</si>
  <si>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</si>
  <si>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</si>
  <si>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</si>
  <si>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</si>
  <si>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</si>
  <si>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</si>
  <si>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</si>
  <si>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</si>
  <si>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</si>
  <si>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</si>
  <si>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</si>
  <si>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</si>
  <si>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</si>
  <si>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</si>
  <si>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</si>
  <si>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</si>
  <si>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</si>
  <si>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</si>
  <si>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</si>
  <si>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</si>
  <si>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</si>
  <si>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</si>
  <si>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</si>
  <si>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</si>
  <si>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</si>
  <si>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</si>
  <si>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</si>
  <si>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</si>
  <si>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</si>
  <si>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</si>
  <si>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</si>
  <si>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</si>
  <si>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</si>
  <si>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</si>
  <si>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</si>
  <si>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</si>
  <si>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</si>
  <si>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</si>
  <si>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</si>
  <si>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</si>
  <si>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</si>
  <si>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</si>
  <si>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</si>
  <si>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</si>
  <si>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</si>
  <si>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</si>
  <si>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</si>
  <si>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</si>
  <si>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</si>
  <si>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</si>
  <si>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</si>
  <si>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</si>
  <si>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</si>
  <si>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</si>
  <si>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</si>
  <si>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</si>
  <si>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</si>
  <si>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</si>
  <si>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</si>
  <si>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</si>
  <si>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</si>
  <si>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</si>
  <si>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</si>
  <si>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</si>
  <si>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</si>
  <si>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</si>
  <si>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</si>
  <si>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</si>
  <si>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</si>
  <si>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</si>
  <si>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</si>
  <si>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</si>
  <si>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</si>
  <si>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</si>
  <si>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</si>
  <si>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</si>
  <si>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</si>
  <si>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</si>
  <si>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</si>
  <si>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</si>
  <si>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</si>
  <si>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</si>
  <si>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</si>
  <si>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</si>
  <si>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</si>
  <si>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</si>
  <si>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</si>
  <si>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</si>
  <si>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</si>
  <si>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</si>
  <si>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</si>
  <si>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</si>
  <si>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</si>
  <si>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</si>
  <si>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</si>
  <si>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</si>
  <si>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</si>
  <si>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</si>
  <si>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</si>
  <si>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</si>
  <si>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</si>
  <si>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</si>
  <si>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</si>
  <si>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</si>
  <si>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</si>
  <si>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</si>
  <si>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</si>
  <si>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</si>
  <si>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</si>
  <si>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</si>
  <si>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</si>
  <si>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</si>
  <si>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</si>
  <si>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</si>
  <si>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</si>
  <si>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</si>
  <si>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</si>
  <si>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</si>
  <si>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</si>
  <si>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</si>
  <si>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</si>
  <si>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</si>
  <si>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</si>
  <si>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</si>
  <si>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</si>
  <si>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</si>
  <si>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</si>
  <si>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</si>
  <si>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</si>
  <si>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</si>
  <si>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</si>
  <si>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</si>
  <si>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</si>
  <si>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</si>
  <si>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</si>
  <si>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</si>
  <si>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</si>
  <si>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</si>
  <si>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</si>
  <si>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</si>
  <si>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</si>
  <si>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</si>
  <si>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</si>
  <si>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</si>
  <si>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</si>
  <si>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</si>
  <si>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</si>
  <si>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</si>
  <si>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</si>
  <si>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</si>
  <si>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</si>
  <si>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</si>
  <si>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</si>
  <si>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</si>
  <si>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</si>
  <si>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</si>
  <si>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</si>
  <si>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</si>
  <si>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</si>
  <si>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</si>
  <si>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</si>
  <si>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</si>
  <si>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</si>
  <si>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</si>
  <si>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</si>
  <si>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</si>
  <si>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</si>
  <si>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</si>
  <si>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</si>
  <si>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</si>
  <si>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</si>
  <si>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</si>
  <si>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</si>
  <si>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</si>
  <si>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</si>
  <si>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</si>
  <si>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</si>
  <si>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</si>
  <si>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</si>
  <si>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</si>
  <si>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</si>
  <si>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</si>
  <si>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</si>
  <si>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</si>
  <si>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</si>
  <si>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</si>
  <si>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</si>
  <si>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</si>
  <si>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</si>
  <si>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</si>
  <si>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</si>
  <si>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</si>
  <si>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</si>
  <si>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</si>
  <si>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</si>
  <si>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</si>
  <si>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</si>
  <si>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</si>
  <si>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</si>
  <si>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</si>
  <si>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</si>
  <si>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</si>
  <si>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</si>
  <si>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</si>
  <si>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</si>
  <si>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</si>
  <si>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</si>
  <si>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</si>
  <si>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</si>
  <si>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</si>
  <si>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</si>
  <si>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</si>
  <si>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</si>
  <si>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</si>
  <si>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</si>
  <si>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</si>
  <si>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</si>
  <si>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</si>
  <si>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</si>
  <si>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</si>
  <si>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</si>
  <si>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</si>
  <si>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</si>
  <si>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</si>
  <si>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</si>
  <si>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</si>
  <si>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</si>
  <si>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</si>
  <si>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</si>
  <si>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</si>
  <si>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</si>
  <si>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</si>
  <si>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</si>
  <si>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</si>
  <si>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</si>
  <si>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</si>
  <si>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</si>
  <si>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</si>
  <si>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</si>
  <si>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</si>
  <si>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</si>
  <si>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</si>
  <si>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</si>
  <si>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</si>
  <si>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</si>
  <si>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</si>
  <si>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</si>
  <si>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</si>
  <si>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</si>
  <si>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</si>
  <si>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</si>
  <si>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</si>
  <si>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</si>
  <si>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</si>
  <si>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</si>
  <si>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</si>
  <si>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</si>
  <si>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</si>
  <si>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</si>
  <si>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</si>
  <si>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</si>
  <si>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</si>
  <si>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</si>
  <si>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</si>
  <si>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</si>
  <si>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</si>
  <si>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</si>
  <si>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</si>
  <si>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</si>
  <si>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</si>
  <si>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</si>
  <si>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</si>
  <si>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</si>
  <si>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</si>
  <si>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</si>
  <si>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</si>
  <si>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</si>
  <si>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</si>
  <si>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</si>
  <si>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</si>
  <si>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</si>
  <si>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</si>
  <si>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</si>
  <si>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</si>
  <si>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</si>
  <si>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</si>
  <si>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</si>
  <si>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</si>
  <si>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</si>
  <si>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</si>
  <si>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</si>
  <si>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</si>
  <si>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</si>
  <si>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</si>
  <si>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</si>
  <si>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</si>
  <si>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</si>
  <si>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</si>
  <si>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</si>
  <si>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</si>
  <si>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</si>
  <si>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</si>
  <si>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</si>
  <si>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</si>
  <si>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</si>
  <si>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</si>
  <si>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</si>
  <si>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</si>
  <si>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</si>
  <si>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</si>
  <si>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</si>
  <si>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</si>
  <si>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</si>
  <si>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</si>
  <si>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</si>
  <si>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</si>
  <si>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</si>
  <si>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</si>
  <si>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</si>
  <si>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</si>
  <si>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</si>
  <si>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</si>
  <si>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</si>
  <si>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</si>
  <si>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</si>
  <si>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</si>
  <si>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</si>
  <si>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</si>
  <si>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</si>
  <si>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</si>
  <si>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</si>
  <si>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</si>
  <si>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</si>
  <si>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</si>
  <si>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</si>
  <si>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</si>
  <si>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</si>
  <si>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</si>
  <si>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</si>
  <si>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</si>
  <si>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</si>
  <si>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</si>
  <si>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</si>
  <si>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</si>
  <si>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</si>
  <si>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</si>
  <si>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</si>
  <si>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</si>
  <si>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</si>
  <si>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</si>
  <si>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</si>
  <si>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</si>
  <si>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</si>
  <si>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</si>
  <si>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</si>
  <si>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</si>
  <si>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</si>
  <si>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</si>
  <si>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</si>
  <si>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</si>
  <si>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</si>
  <si>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</si>
  <si>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</si>
  <si>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</si>
  <si>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</si>
  <si>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</si>
  <si>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</si>
  <si>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</si>
  <si>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</si>
  <si>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</si>
  <si>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</si>
  <si>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</si>
  <si>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</si>
  <si>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</si>
  <si>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</si>
  <si>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</si>
  <si>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</si>
  <si>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</si>
  <si>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</si>
  <si>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</si>
  <si>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</si>
  <si>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</si>
  <si>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</si>
  <si>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</si>
  <si>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</si>
  <si>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</si>
  <si>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</si>
  <si>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</si>
  <si>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</si>
  <si>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</si>
  <si>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</si>
  <si>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</si>
  <si>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</si>
  <si>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</si>
  <si>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</si>
  <si>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</si>
  <si>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</si>
  <si>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</si>
  <si>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</si>
  <si>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</si>
  <si>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</si>
  <si>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</si>
  <si>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</si>
  <si>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</si>
  <si>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</si>
  <si>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</si>
  <si>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</si>
  <si>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</si>
  <si>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</si>
  <si>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</si>
  <si>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</si>
  <si>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</si>
  <si>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</si>
  <si>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</si>
  <si>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</si>
  <si>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</si>
  <si>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</si>
  <si>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</si>
  <si>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</si>
  <si>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</si>
  <si>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</si>
  <si>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</si>
  <si>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</si>
  <si>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</si>
  <si>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</si>
  <si>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</si>
  <si>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</si>
  <si>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</si>
  <si>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</si>
  <si>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</si>
  <si>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</si>
  <si>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</si>
  <si>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</si>
  <si>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</si>
  <si>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</si>
  <si>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</si>
  <si>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</si>
  <si>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</si>
  <si>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</si>
  <si>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</si>
  <si>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</si>
  <si>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</si>
  <si>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</si>
  <si>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</si>
  <si>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</si>
  <si>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</si>
  <si>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</si>
  <si>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</si>
  <si>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</si>
  <si>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</si>
  <si>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</si>
  <si>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</si>
  <si>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</si>
  <si>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</si>
  <si>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</si>
  <si>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</si>
  <si>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</si>
  <si>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</si>
  <si>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</si>
  <si>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</si>
  <si>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</si>
  <si>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</si>
  <si>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</si>
  <si>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</si>
  <si>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</si>
  <si>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</si>
  <si>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</si>
  <si>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</si>
  <si>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</si>
  <si>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</si>
  <si>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</si>
  <si>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</si>
  <si>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</si>
  <si>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</si>
  <si>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</si>
  <si>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</si>
  <si>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</si>
  <si>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</si>
  <si>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</si>
  <si>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</si>
  <si>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</si>
  <si>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</si>
  <si>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</si>
  <si>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</si>
  <si>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</si>
  <si>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</si>
  <si>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</si>
  <si>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</si>
  <si>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</si>
  <si>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</si>
  <si>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</si>
  <si>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</si>
  <si>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</si>
  <si>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</si>
  <si>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</si>
  <si>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</si>
  <si>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</si>
  <si>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</si>
  <si>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</si>
  <si>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</si>
  <si>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</si>
  <si>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</si>
  <si>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</si>
  <si>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Jan</t>
  </si>
  <si>
    <t>Feb</t>
  </si>
  <si>
    <t>Mar</t>
  </si>
  <si>
    <t>Apr</t>
  </si>
  <si>
    <t>May</t>
  </si>
  <si>
    <t>Jun</t>
  </si>
  <si>
    <t>Jul</t>
  </si>
  <si>
    <t>Aug</t>
  </si>
  <si>
    <t>Sep</t>
  </si>
  <si>
    <t>Oct</t>
  </si>
  <si>
    <t>Nov</t>
  </si>
  <si>
    <t>Dec</t>
  </si>
  <si>
    <t>Count of Order id</t>
  </si>
  <si>
    <t>Sum of Amount</t>
  </si>
  <si>
    <t>Sum of Qty</t>
  </si>
  <si>
    <t>Sum of Profit 10%</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</si>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</sst>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39]#,##0"/>
    <numFmt numFmtId="165" formatCode="&quot;₹&quot;\ #,##0"/>
  </numFmts>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22">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2" fillId="0" borderId="0" xfId="0" applyFont="1" applyAlignment="1">
      <alignment horizontal="left"/>
    </xf>
    <xf numFmtId="1" fontId="2" fillId="0" borderId="0" xfId="0" applyNumberFormat="1" applyFont="1"/>
    <xf numFmtId="0" fontId="3" fillId="3" borderId="7" xfId="0" applyFont="1" applyFill="1" applyBorder="1" applyAlignment="1">
      <alignment horizontal="left"/>
    </xf>
    <xf numFmtId="0" fontId="0" fillId="0" borderId="0" xfId="0" applyNumberFormat="1"/>
  </cellXfs>
  <cellStyles count="1">
    <cellStyle name="Normal" xfId="0" builtinId="0"/>
  </cellStyles>
  <dxfs count="36">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164" formatCode="[$₹-439]#,##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439]#,##0"/>
    </dxf>
    <dxf>
      <numFmt numFmtId="164" formatCode="[$₹-439]#,##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35"/>
      <tableStyleElement type="headerRow"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Practice.xlsx]Sheet3!PivotTable2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Sheet3!$G$4:$G$8</c:f>
              <c:strCache>
                <c:ptCount val="4"/>
                <c:pt idx="0">
                  <c:v>Qtr1</c:v>
                </c:pt>
                <c:pt idx="1">
                  <c:v>Qtr2</c:v>
                </c:pt>
                <c:pt idx="2">
                  <c:v>Qtr3</c:v>
                </c:pt>
                <c:pt idx="3">
                  <c:v>Qtr4</c:v>
                </c:pt>
              </c:strCache>
            </c:strRef>
          </c:cat>
          <c:val>
            <c:numRef>
              <c:f>Sheet3!$H$4:$H$8</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6A8D-47BB-95D0-6CDEC0C528E6}"/>
            </c:ext>
          </c:extLst>
        </c:ser>
        <c:dLbls>
          <c:dLblPos val="outEnd"/>
          <c:showLegendKey val="0"/>
          <c:showVal val="1"/>
          <c:showCatName val="0"/>
          <c:showSerName val="0"/>
          <c:showPercent val="0"/>
          <c:showBubbleSize val="0"/>
        </c:dLbls>
        <c:gapWidth val="182"/>
        <c:axId val="1483359104"/>
        <c:axId val="1483338464"/>
      </c:barChart>
      <c:catAx>
        <c:axId val="1483359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338464"/>
        <c:crosses val="autoZero"/>
        <c:auto val="1"/>
        <c:lblAlgn val="ctr"/>
        <c:lblOffset val="100"/>
        <c:noMultiLvlLbl val="0"/>
      </c:catAx>
      <c:valAx>
        <c:axId val="1483338464"/>
        <c:scaling>
          <c:orientation val="minMax"/>
        </c:scaling>
        <c:delete val="1"/>
        <c:axPos val="b"/>
        <c:numFmt formatCode="0" sourceLinked="1"/>
        <c:majorTickMark val="out"/>
        <c:minorTickMark val="none"/>
        <c:tickLblPos val="nextTo"/>
        <c:crossAx val="148335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Practice.xlsx]Sheet3!PivotTable2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5914103592533"/>
          <c:y val="0.12785388127853881"/>
          <c:w val="0.78953467076297101"/>
          <c:h val="0.79908675799086759"/>
        </c:manualLayout>
      </c:layout>
      <c:barChart>
        <c:barDir val="bar"/>
        <c:grouping val="cluster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Sheet3!$G$4:$G$8</c:f>
              <c:strCache>
                <c:ptCount val="4"/>
                <c:pt idx="0">
                  <c:v>Qtr1</c:v>
                </c:pt>
                <c:pt idx="1">
                  <c:v>Qtr2</c:v>
                </c:pt>
                <c:pt idx="2">
                  <c:v>Qtr3</c:v>
                </c:pt>
                <c:pt idx="3">
                  <c:v>Qtr4</c:v>
                </c:pt>
              </c:strCache>
            </c:strRef>
          </c:cat>
          <c:val>
            <c:numRef>
              <c:f>Sheet3!$H$4:$H$8</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D0DF-401C-B5D4-AD14F57C606F}"/>
            </c:ext>
          </c:extLst>
        </c:ser>
        <c:dLbls>
          <c:dLblPos val="outEnd"/>
          <c:showLegendKey val="0"/>
          <c:showVal val="1"/>
          <c:showCatName val="0"/>
          <c:showSerName val="0"/>
          <c:showPercent val="0"/>
          <c:showBubbleSize val="0"/>
        </c:dLbls>
        <c:gapWidth val="182"/>
        <c:axId val="1483359104"/>
        <c:axId val="1483338464"/>
      </c:barChart>
      <c:catAx>
        <c:axId val="1483359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338464"/>
        <c:crosses val="autoZero"/>
        <c:auto val="1"/>
        <c:lblAlgn val="ctr"/>
        <c:lblOffset val="100"/>
        <c:noMultiLvlLbl val="0"/>
      </c:catAx>
      <c:valAx>
        <c:axId val="1483338464"/>
        <c:scaling>
          <c:orientation val="minMax"/>
        </c:scaling>
        <c:delete val="1"/>
        <c:axPos val="b"/>
        <c:numFmt formatCode="0" sourceLinked="1"/>
        <c:majorTickMark val="out"/>
        <c:minorTickMark val="none"/>
        <c:tickLblPos val="nextTo"/>
        <c:crossAx val="148335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plotSurface>
          <cx:spPr>
            <a:ln>
              <a:noFill/>
            </a:ln>
          </cx:spPr>
        </cx:plotSurface>
        <cx:series layoutId="waterfall" uniqueId="{86E44CCF-FCED-473F-A2C8-5948DAEFDF39}">
          <cx:dataLabels pos="outEnd">
            <cx:visibility seriesName="0" categoryName="0" value="1"/>
          </cx:dataLabels>
          <cx:dataId val="0"/>
          <cx:layoutPr>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975BF819-BF6E-4D4B-B703-E00442BB2A76}">
          <cx:dataLabels pos="inEnd">
            <cx:visibility seriesName="0" categoryName="1" value="0"/>
            <cx:dataLabel idx="0">
              <cx:visibility seriesName="0" categoryName="1" value="1"/>
              <cx:separator>, </cx:separator>
            </cx:dataLabel>
            <cx:dataLabel idx="1">
              <cx:visibility seriesName="0" categoryName="1" value="1"/>
              <cx:separator>, </cx:separator>
            </cx:dataLabel>
            <cx:dataLabel idx="2">
              <cx:visibility seriesName="0" categoryName="1" value="1"/>
              <cx:separator>, </cx:separator>
            </cx:dataLabel>
            <cx:dataLabel idx="3">
              <cx:visibility seriesName="0" categoryName="1" value="1"/>
              <cx:separator>, </cx:separator>
            </cx:dataLabel>
            <cx:dataLabel idx="4">
              <cx:visibility seriesName="0" categoryName="1" value="1"/>
              <cx:separator>, </cx:separator>
            </cx:dataLabel>
          </cx:dataLabels>
          <cx:dataId val="0"/>
          <cx:layoutPr>
            <cx:parentLabelLayout val="overlapping"/>
          </cx:layoutPr>
        </cx:series>
      </cx:plotAreaRegion>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600074</xdr:colOff>
      <xdr:row>4</xdr:row>
      <xdr:rowOff>166687</xdr:rowOff>
    </xdr:from>
    <xdr:to>
      <xdr:col>4</xdr:col>
      <xdr:colOff>552449</xdr:colOff>
      <xdr:row>13</xdr:row>
      <xdr:rowOff>171450</xdr:rowOff>
    </xdr:to>
    <xdr:graphicFrame macro="">
      <xdr:nvGraphicFramePr>
        <xdr:cNvPr id="2" name="Chart 1">
          <a:extLst>
            <a:ext uri="{FF2B5EF4-FFF2-40B4-BE49-F238E27FC236}">
              <a16:creationId xmlns:a16="http://schemas.microsoft.com/office/drawing/2014/main" id="{204761E9-81AA-CCCE-C07D-85DB72A1B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85726</xdr:colOff>
      <xdr:row>26</xdr:row>
      <xdr:rowOff>28575</xdr:rowOff>
    </xdr:from>
    <xdr:to>
      <xdr:col>22</xdr:col>
      <xdr:colOff>447675</xdr:colOff>
      <xdr:row>58</xdr:row>
      <xdr:rowOff>38101</xdr:rowOff>
    </xdr:to>
    <xdr:pic>
      <xdr:nvPicPr>
        <xdr:cNvPr id="2" name="Picture 1">
          <a:extLst>
            <a:ext uri="{FF2B5EF4-FFF2-40B4-BE49-F238E27FC236}">
              <a16:creationId xmlns:a16="http://schemas.microsoft.com/office/drawing/2014/main" id="{5026BC91-CDB4-CA0C-AB9E-A396FCDCF0E5}"/>
            </a:ext>
          </a:extLst>
        </xdr:cNvPr>
        <xdr:cNvPicPr>
          <a:picLocks noChangeAspect="1"/>
        </xdr:cNvPicPr>
      </xdr:nvPicPr>
      <xdr:blipFill>
        <a:blip xmlns:r="http://schemas.openxmlformats.org/officeDocument/2006/relationships" r:embed="rId1"/>
        <a:stretch>
          <a:fillRect/>
        </a:stretch>
      </xdr:blipFill>
      <xdr:spPr>
        <a:xfrm>
          <a:off x="1304926" y="4981575"/>
          <a:ext cx="12553949" cy="6105526"/>
        </a:xfrm>
        <a:prstGeom prst="rect">
          <a:avLst/>
        </a:prstGeom>
      </xdr:spPr>
    </xdr:pic>
    <xdr:clientData/>
  </xdr:twoCellAnchor>
  <xdr:twoCellAnchor>
    <xdr:from>
      <xdr:col>2</xdr:col>
      <xdr:colOff>247650</xdr:colOff>
      <xdr:row>33</xdr:row>
      <xdr:rowOff>66675</xdr:rowOff>
    </xdr:from>
    <xdr:to>
      <xdr:col>5</xdr:col>
      <xdr:colOff>542925</xdr:colOff>
      <xdr:row>36</xdr:row>
      <xdr:rowOff>38100</xdr:rowOff>
    </xdr:to>
    <xdr:sp macro="" textlink="Sheet3!C18">
      <xdr:nvSpPr>
        <xdr:cNvPr id="3" name="Rectangle: Rounded Corners 2">
          <a:extLst>
            <a:ext uri="{FF2B5EF4-FFF2-40B4-BE49-F238E27FC236}">
              <a16:creationId xmlns:a16="http://schemas.microsoft.com/office/drawing/2014/main" id="{5C431DDD-24ED-5FAA-06BD-4DE3DFEDF85C}"/>
            </a:ext>
          </a:extLst>
        </xdr:cNvPr>
        <xdr:cNvSpPr/>
      </xdr:nvSpPr>
      <xdr:spPr>
        <a:xfrm>
          <a:off x="1466850" y="6353175"/>
          <a:ext cx="2124075"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B16080-FC7E-414A-AA66-FB05D5822CBF}" type="TxLink">
            <a:rPr lang="en-US" sz="2400" b="0" i="0" u="none" strike="noStrike">
              <a:solidFill>
                <a:srgbClr val="000000"/>
              </a:solidFill>
              <a:latin typeface="Calibri"/>
              <a:cs typeface="Calibri"/>
            </a:rPr>
            <a:pPr algn="ctr"/>
            <a:t>₹ 98,43,042</a:t>
          </a:fld>
          <a:endParaRPr lang="en-IN" sz="2400"/>
        </a:p>
      </xdr:txBody>
    </xdr:sp>
    <xdr:clientData/>
  </xdr:twoCellAnchor>
  <xdr:twoCellAnchor>
    <xdr:from>
      <xdr:col>6</xdr:col>
      <xdr:colOff>171450</xdr:colOff>
      <xdr:row>33</xdr:row>
      <xdr:rowOff>66675</xdr:rowOff>
    </xdr:from>
    <xdr:to>
      <xdr:col>9</xdr:col>
      <xdr:colOff>466725</xdr:colOff>
      <xdr:row>36</xdr:row>
      <xdr:rowOff>38100</xdr:rowOff>
    </xdr:to>
    <xdr:sp macro="" textlink="Sheet3!B18">
      <xdr:nvSpPr>
        <xdr:cNvPr id="4" name="Rectangle: Rounded Corners 3">
          <a:extLst>
            <a:ext uri="{FF2B5EF4-FFF2-40B4-BE49-F238E27FC236}">
              <a16:creationId xmlns:a16="http://schemas.microsoft.com/office/drawing/2014/main" id="{22C3967D-5CF1-4EB4-9128-D6877ACD8ECC}"/>
            </a:ext>
          </a:extLst>
        </xdr:cNvPr>
        <xdr:cNvSpPr/>
      </xdr:nvSpPr>
      <xdr:spPr>
        <a:xfrm>
          <a:off x="3829050" y="6353175"/>
          <a:ext cx="2124075"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7D56BA-D4AF-4736-8D5F-B37C55744E48}" type="TxLink">
            <a:rPr lang="en-US" sz="2400" b="0" i="0" u="none" strike="noStrike">
              <a:solidFill>
                <a:srgbClr val="000000"/>
              </a:solidFill>
              <a:latin typeface="Calibri"/>
              <a:cs typeface="Calibri"/>
            </a:rPr>
            <a:pPr algn="ctr"/>
            <a:t>981</a:t>
          </a:fld>
          <a:endParaRPr lang="en-IN" sz="2400"/>
        </a:p>
      </xdr:txBody>
    </xdr:sp>
    <xdr:clientData/>
  </xdr:twoCellAnchor>
  <xdr:twoCellAnchor>
    <xdr:from>
      <xdr:col>10</xdr:col>
      <xdr:colOff>180975</xdr:colOff>
      <xdr:row>33</xdr:row>
      <xdr:rowOff>47625</xdr:rowOff>
    </xdr:from>
    <xdr:to>
      <xdr:col>13</xdr:col>
      <xdr:colOff>476250</xdr:colOff>
      <xdr:row>36</xdr:row>
      <xdr:rowOff>19050</xdr:rowOff>
    </xdr:to>
    <xdr:sp macro="" textlink="Sheet3!D18">
      <xdr:nvSpPr>
        <xdr:cNvPr id="5" name="Rectangle: Rounded Corners 4">
          <a:extLst>
            <a:ext uri="{FF2B5EF4-FFF2-40B4-BE49-F238E27FC236}">
              <a16:creationId xmlns:a16="http://schemas.microsoft.com/office/drawing/2014/main" id="{CABEACEC-CAEC-7DC5-DA58-92B9C95457AE}"/>
            </a:ext>
          </a:extLst>
        </xdr:cNvPr>
        <xdr:cNvSpPr/>
      </xdr:nvSpPr>
      <xdr:spPr>
        <a:xfrm>
          <a:off x="6276975" y="6334125"/>
          <a:ext cx="2124075"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C694CA-1B47-4D29-906D-91CDF7448C49}" type="TxLink">
            <a:rPr lang="en-US" sz="2400" b="0" i="0" u="none" strike="noStrike">
              <a:solidFill>
                <a:srgbClr val="000000"/>
              </a:solidFill>
              <a:latin typeface="Calibri"/>
              <a:cs typeface="Calibri"/>
            </a:rPr>
            <a:pPr algn="ctr"/>
            <a:t>4279.8</a:t>
          </a:fld>
          <a:endParaRPr lang="en-IN" sz="2400"/>
        </a:p>
      </xdr:txBody>
    </xdr:sp>
    <xdr:clientData/>
  </xdr:twoCellAnchor>
  <xdr:twoCellAnchor>
    <xdr:from>
      <xdr:col>14</xdr:col>
      <xdr:colOff>76200</xdr:colOff>
      <xdr:row>33</xdr:row>
      <xdr:rowOff>47625</xdr:rowOff>
    </xdr:from>
    <xdr:to>
      <xdr:col>17</xdr:col>
      <xdr:colOff>371475</xdr:colOff>
      <xdr:row>36</xdr:row>
      <xdr:rowOff>19050</xdr:rowOff>
    </xdr:to>
    <xdr:sp macro="" textlink="Sheet3!E18">
      <xdr:nvSpPr>
        <xdr:cNvPr id="6" name="Rectangle: Rounded Corners 5">
          <a:extLst>
            <a:ext uri="{FF2B5EF4-FFF2-40B4-BE49-F238E27FC236}">
              <a16:creationId xmlns:a16="http://schemas.microsoft.com/office/drawing/2014/main" id="{4A1D6EEC-9396-880D-9C69-1B6E022592A1}"/>
            </a:ext>
          </a:extLst>
        </xdr:cNvPr>
        <xdr:cNvSpPr/>
      </xdr:nvSpPr>
      <xdr:spPr>
        <a:xfrm>
          <a:off x="8610600" y="6334125"/>
          <a:ext cx="2124075" cy="542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9916F0-4A12-444C-987D-E271B428FA4D}" type="TxLink">
            <a:rPr lang="en-US" sz="2400" b="0" i="0" u="none" strike="noStrike">
              <a:solidFill>
                <a:srgbClr val="000000"/>
              </a:solidFill>
              <a:latin typeface="Calibri"/>
              <a:cs typeface="Calibri"/>
            </a:rPr>
            <a:pPr algn="ctr"/>
            <a:t>₹ 9,84,304</a:t>
          </a:fld>
          <a:endParaRPr lang="en-IN" sz="2400"/>
        </a:p>
      </xdr:txBody>
    </xdr:sp>
    <xdr:clientData/>
  </xdr:twoCellAnchor>
  <mc:AlternateContent xmlns:mc="http://schemas.openxmlformats.org/markup-compatibility/2006">
    <mc:Choice xmlns:a14="http://schemas.microsoft.com/office/drawing/2010/main" Requires="a14">
      <xdr:twoCellAnchor editAs="oneCell">
        <xdr:from>
          <xdr:col>6</xdr:col>
          <xdr:colOff>285750</xdr:colOff>
          <xdr:row>36</xdr:row>
          <xdr:rowOff>47626</xdr:rowOff>
        </xdr:from>
        <xdr:to>
          <xdr:col>9</xdr:col>
          <xdr:colOff>428625</xdr:colOff>
          <xdr:row>38</xdr:row>
          <xdr:rowOff>66676</xdr:rowOff>
        </xdr:to>
        <xdr:pic>
          <xdr:nvPicPr>
            <xdr:cNvPr id="15" name="Picture 14">
              <a:extLst>
                <a:ext uri="{FF2B5EF4-FFF2-40B4-BE49-F238E27FC236}">
                  <a16:creationId xmlns:a16="http://schemas.microsoft.com/office/drawing/2014/main" id="{7A474185-88C8-F8B6-9106-23311402A129}"/>
                </a:ext>
              </a:extLst>
            </xdr:cNvPr>
            <xdr:cNvPicPr>
              <a:picLocks noChangeAspect="1" noChangeArrowheads="1"/>
              <a:extLst>
                <a:ext uri="{84589F7E-364E-4C9E-8A38-B11213B215E9}">
                  <a14:cameraTool cellRange="Sheet3!$B$20" spid="_x0000_s1130"/>
                </a:ext>
              </a:extLst>
            </xdr:cNvPicPr>
          </xdr:nvPicPr>
          <xdr:blipFill>
            <a:blip xmlns:r="http://schemas.openxmlformats.org/officeDocument/2006/relationships" r:embed="rId2"/>
            <a:srcRect/>
            <a:stretch>
              <a:fillRect/>
            </a:stretch>
          </xdr:blipFill>
          <xdr:spPr bwMode="auto">
            <a:xfrm>
              <a:off x="3943350" y="6905626"/>
              <a:ext cx="1971675" cy="400050"/>
            </a:xfrm>
            <a:prstGeom prst="rect">
              <a:avLst/>
            </a:prstGeom>
            <a:noFill/>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333376</xdr:colOff>
          <xdr:row>35</xdr:row>
          <xdr:rowOff>152400</xdr:rowOff>
        </xdr:from>
        <xdr:to>
          <xdr:col>5</xdr:col>
          <xdr:colOff>495300</xdr:colOff>
          <xdr:row>38</xdr:row>
          <xdr:rowOff>57150</xdr:rowOff>
        </xdr:to>
        <xdr:pic>
          <xdr:nvPicPr>
            <xdr:cNvPr id="17" name="Picture 16">
              <a:extLst>
                <a:ext uri="{FF2B5EF4-FFF2-40B4-BE49-F238E27FC236}">
                  <a16:creationId xmlns:a16="http://schemas.microsoft.com/office/drawing/2014/main" id="{95BB4C39-577F-68C3-09E5-C5A8E97356A2}"/>
                </a:ext>
              </a:extLst>
            </xdr:cNvPr>
            <xdr:cNvPicPr>
              <a:picLocks noChangeAspect="1" noChangeArrowheads="1"/>
              <a:extLst>
                <a:ext uri="{84589F7E-364E-4C9E-8A38-B11213B215E9}">
                  <a14:cameraTool cellRange="Sheet3!$C$20" spid="_x0000_s1131"/>
                </a:ext>
              </a:extLst>
            </xdr:cNvPicPr>
          </xdr:nvPicPr>
          <xdr:blipFill>
            <a:blip xmlns:r="http://schemas.openxmlformats.org/officeDocument/2006/relationships" r:embed="rId3"/>
            <a:srcRect/>
            <a:stretch>
              <a:fillRect/>
            </a:stretch>
          </xdr:blipFill>
          <xdr:spPr bwMode="auto">
            <a:xfrm>
              <a:off x="1552576" y="6819900"/>
              <a:ext cx="1990724" cy="476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266701</xdr:colOff>
          <xdr:row>35</xdr:row>
          <xdr:rowOff>133350</xdr:rowOff>
        </xdr:from>
        <xdr:to>
          <xdr:col>13</xdr:col>
          <xdr:colOff>390525</xdr:colOff>
          <xdr:row>38</xdr:row>
          <xdr:rowOff>66675</xdr:rowOff>
        </xdr:to>
        <xdr:pic>
          <xdr:nvPicPr>
            <xdr:cNvPr id="19" name="Picture 18">
              <a:extLst>
                <a:ext uri="{FF2B5EF4-FFF2-40B4-BE49-F238E27FC236}">
                  <a16:creationId xmlns:a16="http://schemas.microsoft.com/office/drawing/2014/main" id="{1CE8B424-2A0E-5244-EF76-995B1BD68E60}"/>
                </a:ext>
              </a:extLst>
            </xdr:cNvPr>
            <xdr:cNvPicPr>
              <a:picLocks noChangeAspect="1" noChangeArrowheads="1"/>
              <a:extLst>
                <a:ext uri="{84589F7E-364E-4C9E-8A38-B11213B215E9}">
                  <a14:cameraTool cellRange="Sheet3!$D$20" spid="_x0000_s1132"/>
                </a:ext>
              </a:extLst>
            </xdr:cNvPicPr>
          </xdr:nvPicPr>
          <xdr:blipFill>
            <a:blip xmlns:r="http://schemas.openxmlformats.org/officeDocument/2006/relationships" r:embed="rId4"/>
            <a:srcRect/>
            <a:stretch>
              <a:fillRect/>
            </a:stretch>
          </xdr:blipFill>
          <xdr:spPr bwMode="auto">
            <a:xfrm>
              <a:off x="6362701" y="6800850"/>
              <a:ext cx="1952624" cy="504825"/>
            </a:xfrm>
            <a:prstGeom prst="rect">
              <a:avLst/>
            </a:prstGeom>
            <a:noFill/>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247651</xdr:colOff>
          <xdr:row>35</xdr:row>
          <xdr:rowOff>133351</xdr:rowOff>
        </xdr:from>
        <xdr:to>
          <xdr:col>17</xdr:col>
          <xdr:colOff>390525</xdr:colOff>
          <xdr:row>38</xdr:row>
          <xdr:rowOff>57151</xdr:rowOff>
        </xdr:to>
        <xdr:pic>
          <xdr:nvPicPr>
            <xdr:cNvPr id="21" name="Picture 20">
              <a:extLst>
                <a:ext uri="{FF2B5EF4-FFF2-40B4-BE49-F238E27FC236}">
                  <a16:creationId xmlns:a16="http://schemas.microsoft.com/office/drawing/2014/main" id="{557DFB24-AE58-98D9-DD2E-EF1DA091DF9D}"/>
                </a:ext>
              </a:extLst>
            </xdr:cNvPr>
            <xdr:cNvPicPr>
              <a:picLocks noChangeAspect="1" noChangeArrowheads="1"/>
              <a:extLst>
                <a:ext uri="{84589F7E-364E-4C9E-8A38-B11213B215E9}">
                  <a14:cameraTool cellRange="Sheet3!$E$20" spid="_x0000_s1133"/>
                </a:ext>
              </a:extLst>
            </xdr:cNvPicPr>
          </xdr:nvPicPr>
          <xdr:blipFill>
            <a:blip xmlns:r="http://schemas.openxmlformats.org/officeDocument/2006/relationships" r:embed="rId5"/>
            <a:srcRect/>
            <a:stretch>
              <a:fillRect/>
            </a:stretch>
          </xdr:blipFill>
          <xdr:spPr bwMode="auto">
            <a:xfrm>
              <a:off x="8782051" y="6800851"/>
              <a:ext cx="1971674" cy="4953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95251</xdr:colOff>
      <xdr:row>31</xdr:row>
      <xdr:rowOff>133351</xdr:rowOff>
    </xdr:from>
    <xdr:to>
      <xdr:col>22</xdr:col>
      <xdr:colOff>228600</xdr:colOff>
      <xdr:row>38</xdr:row>
      <xdr:rowOff>171450</xdr:rowOff>
    </xdr:to>
    <xdr:graphicFrame macro="">
      <xdr:nvGraphicFramePr>
        <xdr:cNvPr id="23" name="Chart 22">
          <a:extLst>
            <a:ext uri="{FF2B5EF4-FFF2-40B4-BE49-F238E27FC236}">
              <a16:creationId xmlns:a16="http://schemas.microsoft.com/office/drawing/2014/main" id="{0B493740-EA66-495D-B342-D0324675D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438150</xdr:colOff>
      <xdr:row>42</xdr:row>
      <xdr:rowOff>104775</xdr:rowOff>
    </xdr:from>
    <xdr:to>
      <xdr:col>9</xdr:col>
      <xdr:colOff>342901</xdr:colOff>
      <xdr:row>57</xdr:row>
      <xdr:rowOff>19050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A735DDAB-D7B5-4C09-9751-5B78FEB641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57350" y="8105775"/>
              <a:ext cx="4171951" cy="2771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247650</xdr:colOff>
      <xdr:row>41</xdr:row>
      <xdr:rowOff>180976</xdr:rowOff>
    </xdr:from>
    <xdr:to>
      <xdr:col>17</xdr:col>
      <xdr:colOff>409575</xdr:colOff>
      <xdr:row>56</xdr:row>
      <xdr:rowOff>180976</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E9888CA3-8159-4D6B-8895-30651F7757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343650" y="7991476"/>
              <a:ext cx="4429125"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161925</xdr:colOff>
      <xdr:row>41</xdr:row>
      <xdr:rowOff>123826</xdr:rowOff>
    </xdr:from>
    <xdr:to>
      <xdr:col>22</xdr:col>
      <xdr:colOff>180975</xdr:colOff>
      <xdr:row>46</xdr:row>
      <xdr:rowOff>123826</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5DAE5184-283E-424F-B443-A25F4C9281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34725" y="7934326"/>
              <a:ext cx="245745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295275</xdr:colOff>
      <xdr:row>46</xdr:row>
      <xdr:rowOff>0</xdr:rowOff>
    </xdr:from>
    <xdr:to>
      <xdr:col>22</xdr:col>
      <xdr:colOff>38100</xdr:colOff>
      <xdr:row>54</xdr:row>
      <xdr:rowOff>19049</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E2814F71-32AE-4C8D-B9BB-45F3C971DF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68075" y="8763000"/>
              <a:ext cx="2181225" cy="1543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247650</xdr:colOff>
      <xdr:row>53</xdr:row>
      <xdr:rowOff>180975</xdr:rowOff>
    </xdr:from>
    <xdr:to>
      <xdr:col>21</xdr:col>
      <xdr:colOff>495299</xdr:colOff>
      <xdr:row>57</xdr:row>
      <xdr:rowOff>28574</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3FA0BFA6-7BA4-43E6-8F72-1B6B37BF51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220450" y="10277475"/>
              <a:ext cx="2076449"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4.520945370372" createdVersion="8" refreshedVersion="8" minRefreshableVersion="3" recordCount="981" xr:uid="{527ACA1C-DB51-438F-8A70-1BFF5E132CF9}">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630047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612CC2-2846-48C1-AF4B-4915A6A4536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Q10"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46F4F9-BA8F-4FA1-A0A9-75E590BAB59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218295-3C2F-4B7C-AD1B-C2E7725A147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175D56-4C0F-4F15-99B3-4D6647439A5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2">
    <format dxfId="33">
      <pivotArea outline="0" collapsedLevelsAreSubtotals="1" fieldPosition="0">
        <references count="1">
          <reference field="4294967294" count="1" selected="0">
            <x v="1"/>
          </reference>
        </references>
      </pivotArea>
    </format>
    <format dxfId="3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1ADDCE-FAEC-44CB-A2B1-BF5F4E87FB03}" sourceName="Region">
  <pivotTables>
    <pivotTable tabId="3" name="PivotTable4"/>
    <pivotTable tabId="3" name="PivotTable1"/>
    <pivotTable tabId="3" name="PivotTable2"/>
    <pivotTable tabId="3" name="PivotTable3"/>
  </pivotTables>
  <data>
    <tabular pivotCacheId="163004761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7A5D71-8113-4F10-A7C6-F39DBCDBB08D}" sourceName="Category">
  <pivotTables>
    <pivotTable tabId="3" name="PivotTable4"/>
    <pivotTable tabId="3" name="PivotTable1"/>
    <pivotTable tabId="3" name="PivotTable2"/>
    <pivotTable tabId="3" name="PivotTable3"/>
  </pivotTables>
  <data>
    <tabular pivotCacheId="1630047611">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A8C497-D736-4DC0-8B5C-8A22EA2C65BF}" sourceName="Year">
  <pivotTables>
    <pivotTable tabId="3" name="PivotTable4"/>
    <pivotTable tabId="3" name="PivotTable1"/>
    <pivotTable tabId="3" name="PivotTable2"/>
    <pivotTable tabId="3" name="PivotTable3"/>
  </pivotTables>
  <data>
    <tabular pivotCacheId="16300476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1BDD30-3A21-4A92-BD0C-B46218105F56}" cache="Slicer_Region" caption="Region" columnCount="2" style="SlicerStyleDark1 2" rowHeight="241300"/>
  <slicer name="Category" xr10:uid="{4B756A2D-B952-44B1-8123-B13B8ACEC1B1}" cache="Slicer_Category" caption="Category" style="SlicerStyleDark1 2" rowHeight="241300"/>
  <slicer name="Year" xr10:uid="{484FEDE5-D10C-4F63-86EF-E86399E9BA99}" cache="Slicer_Year" caption="Year" columnCount="3"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31" headerRowBorderDxfId="30" tableBorderDxfId="29" totalsRowBorderDxfId="28">
  <autoFilter ref="A1:L982" xr:uid="{E19AB663-728B-44F6-985E-1D8C95121989}"/>
  <tableColumns count="12">
    <tableColumn id="1" xr3:uid="{8A263E07-6562-4FDE-8CF1-ABB102B41B8C}" name="Order id" dataDxfId="27"/>
    <tableColumn id="2" xr3:uid="{4C79B0CB-5C3D-4862-99DF-9C04124C4644}" name="Order Date" dataDxfId="26"/>
    <tableColumn id="12" xr3:uid="{70D4102A-D594-494C-A8A0-DDEC2FBC4B49}" name="Year" dataDxfId="25"/>
    <tableColumn id="5" xr3:uid="{3EAD1D59-D1A0-46DF-89AB-60CB0FBB0E3E}" name="Cust ID" dataDxfId="24"/>
    <tableColumn id="4" xr3:uid="{73EC9212-AEC7-4A4D-AFC3-DA0360C3979C}" name="Region" dataDxfId="23"/>
    <tableColumn id="6" xr3:uid="{6DF3B24F-0E5E-40FC-B84A-676B5B7DC2BC}" name="Cust Name" dataDxfId="22"/>
    <tableColumn id="7" xr3:uid="{FD101823-19FE-4295-B68A-7EC142A170E4}" name="Category" dataDxfId="21"/>
    <tableColumn id="8" xr3:uid="{F5F8C87A-2D23-4545-8E76-D384637BE990}" name="Product" dataDxfId="20"/>
    <tableColumn id="9" xr3:uid="{B49C350A-3D11-4AC5-9D48-2AF360002573}" name="Price" dataDxfId="19"/>
    <tableColumn id="10" xr3:uid="{59CABBCF-7E24-4C66-8E23-0B1C0716D785}" name="Qty" dataDxfId="18"/>
    <tableColumn id="11" xr3:uid="{06B1E381-CA97-44FD-B887-048CF50AD965}" name="Amount" dataDxfId="17">
      <calculatedColumnFormula>I2*J2</calculatedColumnFormula>
    </tableColumn>
    <tableColumn id="3" xr3:uid="{C4CB82B3-DA29-450F-B86A-E6D660E55A22}" name="Profit 10%" dataDxfId="16">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F01F-775C-4091-9A50-32EC4DC68BA6}">
  <dimension ref="A3:T20"/>
  <sheetViews>
    <sheetView showGridLines="0" topLeftCell="O2" workbookViewId="0">
      <selection activeCell="P4" sqref="P4:Q10"/>
    </sheetView>
  </sheetViews>
  <sheetFormatPr defaultRowHeight="15" x14ac:dyDescent="0.25"/>
  <cols>
    <col min="1" max="1" width="13.140625" bestFit="1" customWidth="1"/>
    <col min="2" max="2" width="16.42578125" bestFit="1" customWidth="1"/>
    <col min="3" max="3" width="14.85546875" bestFit="1" customWidth="1"/>
    <col min="4" max="4" width="10.7109375" bestFit="1" customWidth="1"/>
    <col min="5" max="5" width="16.7109375" bestFit="1" customWidth="1"/>
    <col min="7" max="7" width="13.140625" bestFit="1" customWidth="1"/>
    <col min="8" max="8" width="14.85546875" bestFit="1" customWidth="1"/>
    <col min="9" max="9" width="16.7109375" bestFit="1" customWidth="1"/>
    <col min="10" max="10" width="13.140625" bestFit="1" customWidth="1"/>
    <col min="11" max="11" width="14.85546875" bestFit="1" customWidth="1"/>
    <col min="13" max="13" width="14.5703125" bestFit="1" customWidth="1"/>
    <col min="14" max="14" width="11.28515625" bestFit="1" customWidth="1"/>
    <col min="16" max="16" width="13.140625" bestFit="1" customWidth="1"/>
    <col min="17" max="17" width="10.7109375" bestFit="1" customWidth="1"/>
  </cols>
  <sheetData>
    <row r="3" spans="1:20" x14ac:dyDescent="0.25">
      <c r="A3" s="13" t="s">
        <v>1319</v>
      </c>
      <c r="B3" t="s">
        <v>1333</v>
      </c>
      <c r="C3" t="s">
        <v>1334</v>
      </c>
      <c r="D3" t="s">
        <v>1335</v>
      </c>
      <c r="E3" t="s">
        <v>1336</v>
      </c>
      <c r="G3" s="13" t="s">
        <v>1319</v>
      </c>
      <c r="H3" t="s">
        <v>1334</v>
      </c>
      <c r="J3" s="13" t="s">
        <v>1319</v>
      </c>
      <c r="K3" t="s">
        <v>1334</v>
      </c>
    </row>
    <row r="4" spans="1:20" ht="18.75" x14ac:dyDescent="0.3">
      <c r="A4" s="14" t="s">
        <v>1321</v>
      </c>
      <c r="B4" s="21">
        <v>86</v>
      </c>
      <c r="C4" s="16">
        <v>880260</v>
      </c>
      <c r="D4" s="15">
        <v>399</v>
      </c>
      <c r="E4" s="16">
        <v>88026</v>
      </c>
      <c r="G4" s="14" t="s">
        <v>1337</v>
      </c>
      <c r="H4" s="15">
        <v>2414032</v>
      </c>
      <c r="J4" s="14" t="s">
        <v>25</v>
      </c>
      <c r="K4" s="15">
        <v>1974370</v>
      </c>
      <c r="M4" s="18" t="s">
        <v>25</v>
      </c>
      <c r="N4" s="19">
        <f>GETPIVOTDATA("Amount",$J$3,"Category",J4)</f>
        <v>1974370</v>
      </c>
      <c r="P4" s="13" t="s">
        <v>1319</v>
      </c>
      <c r="Q4" t="s">
        <v>1335</v>
      </c>
    </row>
    <row r="5" spans="1:20" ht="18.75" x14ac:dyDescent="0.3">
      <c r="A5" s="14" t="s">
        <v>1322</v>
      </c>
      <c r="B5" s="21">
        <v>81</v>
      </c>
      <c r="C5" s="16">
        <v>696422</v>
      </c>
      <c r="D5" s="15">
        <v>307.8</v>
      </c>
      <c r="E5" s="16">
        <v>69642.2</v>
      </c>
      <c r="G5" s="14" t="s">
        <v>1338</v>
      </c>
      <c r="H5" s="15">
        <v>2368180</v>
      </c>
      <c r="J5" s="14" t="s">
        <v>15</v>
      </c>
      <c r="K5" s="15">
        <v>1677384</v>
      </c>
      <c r="M5" s="18" t="s">
        <v>15</v>
      </c>
      <c r="N5" s="19">
        <f t="shared" ref="N5:N8" si="0">GETPIVOTDATA("Amount",$J$3,"Category",J5)</f>
        <v>1677384</v>
      </c>
      <c r="P5" s="14" t="s">
        <v>25</v>
      </c>
      <c r="Q5" s="15">
        <v>857.4</v>
      </c>
      <c r="S5" s="14" t="s">
        <v>25</v>
      </c>
      <c r="T5" s="15">
        <f>GETPIVOTDATA("Qty",$P$4,"Category",P5)</f>
        <v>857.4</v>
      </c>
    </row>
    <row r="6" spans="1:20" ht="18.75" x14ac:dyDescent="0.3">
      <c r="A6" s="14" t="s">
        <v>1323</v>
      </c>
      <c r="B6" s="21">
        <v>92</v>
      </c>
      <c r="C6" s="16">
        <v>837350</v>
      </c>
      <c r="D6" s="15">
        <v>370</v>
      </c>
      <c r="E6" s="16">
        <v>83735</v>
      </c>
      <c r="G6" s="14" t="s">
        <v>1339</v>
      </c>
      <c r="H6" s="15">
        <v>3095380</v>
      </c>
      <c r="J6" s="14" t="s">
        <v>20</v>
      </c>
      <c r="K6" s="15">
        <v>1999150</v>
      </c>
      <c r="M6" s="18" t="s">
        <v>20</v>
      </c>
      <c r="N6" s="19">
        <f t="shared" si="0"/>
        <v>1999150</v>
      </c>
      <c r="P6" s="14" t="s">
        <v>15</v>
      </c>
      <c r="Q6" s="15">
        <v>821.6</v>
      </c>
      <c r="S6" s="14" t="s">
        <v>15</v>
      </c>
      <c r="T6" s="15">
        <f t="shared" ref="T6:T9" si="1">GETPIVOTDATA("Qty",$P$4,"Category",P6)</f>
        <v>821.6</v>
      </c>
    </row>
    <row r="7" spans="1:20" ht="18.75" x14ac:dyDescent="0.3">
      <c r="A7" s="14" t="s">
        <v>1324</v>
      </c>
      <c r="B7" s="21">
        <v>86</v>
      </c>
      <c r="C7" s="16">
        <v>837920</v>
      </c>
      <c r="D7" s="15">
        <v>339</v>
      </c>
      <c r="E7" s="16">
        <v>83792</v>
      </c>
      <c r="G7" s="14" t="s">
        <v>1340</v>
      </c>
      <c r="H7" s="15">
        <v>1965450</v>
      </c>
      <c r="J7" s="14" t="s">
        <v>33</v>
      </c>
      <c r="K7" s="15">
        <v>2175180</v>
      </c>
      <c r="M7" s="18" t="s">
        <v>33</v>
      </c>
      <c r="N7" s="19">
        <f t="shared" si="0"/>
        <v>2175180</v>
      </c>
      <c r="P7" s="14" t="s">
        <v>20</v>
      </c>
      <c r="Q7" s="15">
        <v>870</v>
      </c>
      <c r="S7" s="14" t="s">
        <v>20</v>
      </c>
      <c r="T7" s="15">
        <f t="shared" si="1"/>
        <v>870</v>
      </c>
    </row>
    <row r="8" spans="1:20" ht="18.75" x14ac:dyDescent="0.3">
      <c r="A8" s="14" t="s">
        <v>1325</v>
      </c>
      <c r="B8" s="21">
        <v>89</v>
      </c>
      <c r="C8" s="16">
        <v>653680</v>
      </c>
      <c r="D8" s="15">
        <v>307</v>
      </c>
      <c r="E8" s="16">
        <v>65368</v>
      </c>
      <c r="G8" s="14" t="s">
        <v>1320</v>
      </c>
      <c r="H8" s="15">
        <v>9843042</v>
      </c>
      <c r="J8" s="14" t="s">
        <v>29</v>
      </c>
      <c r="K8" s="15">
        <v>2016958</v>
      </c>
      <c r="M8" s="18" t="s">
        <v>29</v>
      </c>
      <c r="N8" s="19">
        <f t="shared" si="0"/>
        <v>2016958</v>
      </c>
      <c r="P8" s="14" t="s">
        <v>33</v>
      </c>
      <c r="Q8" s="15">
        <v>842.2</v>
      </c>
      <c r="S8" s="14" t="s">
        <v>33</v>
      </c>
      <c r="T8" s="15">
        <f t="shared" si="1"/>
        <v>842.2</v>
      </c>
    </row>
    <row r="9" spans="1:20" ht="18.75" x14ac:dyDescent="0.3">
      <c r="A9" s="14" t="s">
        <v>1326</v>
      </c>
      <c r="B9" s="21">
        <v>90</v>
      </c>
      <c r="C9" s="16">
        <v>876580</v>
      </c>
      <c r="D9" s="15">
        <v>383</v>
      </c>
      <c r="E9" s="16">
        <v>87658</v>
      </c>
      <c r="J9" s="14" t="s">
        <v>1320</v>
      </c>
      <c r="K9" s="15">
        <v>9843042</v>
      </c>
      <c r="M9" s="20" t="s">
        <v>1320</v>
      </c>
      <c r="N9" s="19">
        <f>SUM(N4:N8)</f>
        <v>9843042</v>
      </c>
      <c r="P9" s="14" t="s">
        <v>29</v>
      </c>
      <c r="Q9" s="15">
        <v>888.6</v>
      </c>
      <c r="S9" s="14" t="s">
        <v>29</v>
      </c>
      <c r="T9" s="15">
        <f t="shared" si="1"/>
        <v>888.6</v>
      </c>
    </row>
    <row r="10" spans="1:20" x14ac:dyDescent="0.25">
      <c r="A10" s="14" t="s">
        <v>1327</v>
      </c>
      <c r="B10" s="21">
        <v>88</v>
      </c>
      <c r="C10" s="16">
        <v>1181320</v>
      </c>
      <c r="D10" s="15">
        <v>514</v>
      </c>
      <c r="E10" s="16">
        <v>118132</v>
      </c>
      <c r="P10" s="14" t="s">
        <v>1320</v>
      </c>
      <c r="Q10" s="15">
        <v>4279.8</v>
      </c>
    </row>
    <row r="11" spans="1:20" x14ac:dyDescent="0.25">
      <c r="A11" s="14" t="s">
        <v>1328</v>
      </c>
      <c r="B11" s="21">
        <v>81</v>
      </c>
      <c r="C11" s="16">
        <v>917730</v>
      </c>
      <c r="D11" s="15">
        <v>386</v>
      </c>
      <c r="E11" s="16">
        <v>91773</v>
      </c>
    </row>
    <row r="12" spans="1:20" x14ac:dyDescent="0.25">
      <c r="A12" s="14" t="s">
        <v>1329</v>
      </c>
      <c r="B12" s="21">
        <v>82</v>
      </c>
      <c r="C12" s="16">
        <v>996330</v>
      </c>
      <c r="D12" s="15">
        <v>443</v>
      </c>
      <c r="E12" s="16">
        <v>99633</v>
      </c>
    </row>
    <row r="13" spans="1:20" x14ac:dyDescent="0.25">
      <c r="A13" s="14" t="s">
        <v>1330</v>
      </c>
      <c r="B13" s="21">
        <v>86</v>
      </c>
      <c r="C13" s="16">
        <v>668480</v>
      </c>
      <c r="D13" s="15">
        <v>313</v>
      </c>
      <c r="E13" s="16">
        <v>66848</v>
      </c>
    </row>
    <row r="14" spans="1:20" x14ac:dyDescent="0.25">
      <c r="A14" s="14" t="s">
        <v>1331</v>
      </c>
      <c r="B14" s="21">
        <v>56</v>
      </c>
      <c r="C14" s="16">
        <v>560120</v>
      </c>
      <c r="D14" s="15">
        <v>255</v>
      </c>
      <c r="E14" s="16">
        <v>56012</v>
      </c>
    </row>
    <row r="15" spans="1:20" x14ac:dyDescent="0.25">
      <c r="A15" s="14" t="s">
        <v>1332</v>
      </c>
      <c r="B15" s="21">
        <v>64</v>
      </c>
      <c r="C15" s="16">
        <v>736850</v>
      </c>
      <c r="D15" s="15">
        <v>263</v>
      </c>
      <c r="E15" s="16">
        <v>73685</v>
      </c>
    </row>
    <row r="16" spans="1:20" x14ac:dyDescent="0.25">
      <c r="A16" s="14" t="s">
        <v>1320</v>
      </c>
      <c r="B16" s="21">
        <v>981</v>
      </c>
      <c r="C16" s="16">
        <v>9843042</v>
      </c>
      <c r="D16" s="15">
        <v>4279.8</v>
      </c>
      <c r="E16" s="16">
        <v>984304.2</v>
      </c>
    </row>
    <row r="18" spans="2:5" x14ac:dyDescent="0.25">
      <c r="B18">
        <f>GETPIVOTDATA("Count of Order id",$A$3)</f>
        <v>981</v>
      </c>
      <c r="C18" s="17">
        <f>GETPIVOTDATA("Sum of Amount",$A$3)</f>
        <v>9843042</v>
      </c>
      <c r="D18">
        <f>GETPIVOTDATA("Sum of Qty",$A$3)</f>
        <v>4279.8</v>
      </c>
      <c r="E18" s="17">
        <f>GETPIVOTDATA("Sum of Profit 10%",$A$3)</f>
        <v>984304.2</v>
      </c>
    </row>
    <row r="20" spans="2:5" ht="21" customHeight="1" x14ac:dyDescent="0.25"/>
  </sheetData>
  <pageMargins left="0.7" right="0.7" top="0.75" bottom="0.75" header="0.3" footer="0.3"/>
  <drawing r:id="rId5"/>
  <extLst>
    <ext xmlns:x14="http://schemas.microsoft.com/office/spreadsheetml/2009/9/main" uri="{05C60535-1F16-4fd2-B633-F4F36F0B64E0}">
      <x14:sparklineGroups xmlns:xm="http://schemas.microsoft.com/office/excel/2006/main">
        <x14:sparklineGroup type="column" displayEmptyCellsAs="gap" high="1" low="1" first="1" negative="1" xr2:uid="{7115B916-6741-42FA-8A5E-2C03BD49DEE9}">
          <x14:colorSeries theme="4"/>
          <x14:colorNegative theme="4"/>
          <x14:colorAxis rgb="FF000000"/>
          <x14:colorMarkers rgb="FFD00000"/>
          <x14:colorFirst theme="4"/>
          <x14:colorLast rgb="FFD00000"/>
          <x14:colorHigh theme="9"/>
          <x14:colorLow rgb="FFFF0000"/>
          <x14:sparklines>
            <x14:sparkline>
              <xm:f>Sheet3!B4:B15</xm:f>
              <xm:sqref>B20</xm:sqref>
            </x14:sparkline>
            <x14:sparkline>
              <xm:f>Sheet3!C4:C15</xm:f>
              <xm:sqref>C20</xm:sqref>
            </x14:sparkline>
            <x14:sparkline>
              <xm:f>Sheet3!D4:D15</xm:f>
              <xm:sqref>D20</xm:sqref>
            </x14:sparkline>
            <x14:sparkline>
              <xm:f>Sheet3!E4:E15</xm:f>
              <xm:sqref>E20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zoomScale="120" zoomScaleNormal="120" workbookViewId="0">
      <selection activeCell="B4" sqref="B4"/>
    </sheetView>
  </sheetViews>
  <sheetFormatPr defaultRowHeight="15" x14ac:dyDescent="0.25"/>
  <cols>
    <col min="2" max="2" width="14.85546875" customWidth="1"/>
    <col min="3" max="3" width="9.85546875" customWidth="1"/>
    <col min="4" max="4" width="12.140625" customWidth="1"/>
    <col min="5" max="5" width="10.85546875" customWidth="1"/>
    <col min="6" max="6" width="13.42578125" customWidth="1"/>
    <col min="7" max="7" width="11.7109375" customWidth="1"/>
    <col min="8" max="8" width="13" customWidth="1"/>
    <col min="9" max="9" width="11.140625" customWidth="1"/>
    <col min="11" max="11" width="10.28515625" customWidth="1"/>
    <col min="12" max="12" width="13.28515625" customWidth="1"/>
  </cols>
  <sheetData>
    <row r="1" spans="1:12" x14ac:dyDescent="0.25">
      <c r="A1" s="9" t="s">
        <v>0</v>
      </c>
      <c r="B1" s="10" t="s">
        <v>1</v>
      </c>
      <c r="C1" s="11" t="s">
        <v>2</v>
      </c>
      <c r="D1" s="10" t="s">
        <v>3</v>
      </c>
      <c r="E1" s="10" t="s">
        <v>4</v>
      </c>
      <c r="F1" s="10" t="s">
        <v>5</v>
      </c>
      <c r="G1" s="10" t="s">
        <v>6</v>
      </c>
      <c r="H1" s="10" t="s">
        <v>7</v>
      </c>
      <c r="I1" s="10" t="s">
        <v>8</v>
      </c>
      <c r="J1" s="11" t="s">
        <v>9</v>
      </c>
      <c r="K1" s="11" t="s">
        <v>10</v>
      </c>
      <c r="L1" s="12" t="s">
        <v>11</v>
      </c>
    </row>
    <row r="2" spans="1:12" x14ac:dyDescent="0.25">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25">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25">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25">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25">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25">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25">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25">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25">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25">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25">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25">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25">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25">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25">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25">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25">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25">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25">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25">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25">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25">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25">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25">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25">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25">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25">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25">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25">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25">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25">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25">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25">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25">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25">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25">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25">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25">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25">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25">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25">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25">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25">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25">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25">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25">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25">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25">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25">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25">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25">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25">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25">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25">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25">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25">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25">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25">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25">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25">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25">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25">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25">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25">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25">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25">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25">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25">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25">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25">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25">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25">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25">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25">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25">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25">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25">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25">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25">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25">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25">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25">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25">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25">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25">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25">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25">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25">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25">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25">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25">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25">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25">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25">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25">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25">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25">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25">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25">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25">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25">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25">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25">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25">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25">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25">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25">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25">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25">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25">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25">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25">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25">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25">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25">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25">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25">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25">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25">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25">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25">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25">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25">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25">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25">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25">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25">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25">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25">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25">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25">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25">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25">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25">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25">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25">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25">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25">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25">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25">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25">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25">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25">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25">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25">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25">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25">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25">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25">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25">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25">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25">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25">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25">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25">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25">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25">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25">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25">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25">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25">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25">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25">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25">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25">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25">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25">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25">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25">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25">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25">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25">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25">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25">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25">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25">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25">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25">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25">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25">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25">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25">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25">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25">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25">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25">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25">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25">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25">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25">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25">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25">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25">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25">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25">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25">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25">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25">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25">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25">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25">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25">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25">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25">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25">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25">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25">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25">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25">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25">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25">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25">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25">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25">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25">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25">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25">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25">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25">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25">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25">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25">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25">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25">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25">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25">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25">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25">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25">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25">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25">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25">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25">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25">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25">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25">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25">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25">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25">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25">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25">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25">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25">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25">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25">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25">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25">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25">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25">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25">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25">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25">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25">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25">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25">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25">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25">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25">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25">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25">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25">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25">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25">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25">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25">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25">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25">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25">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25">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25">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25">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25">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25">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25">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25">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25">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25">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25">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25">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25">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25">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25">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25">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25">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25">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25">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25">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25">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25">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25">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25">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25">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25">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25">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25">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25">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25">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25">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25">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25">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25">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25">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25">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25">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25">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25">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25">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25">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25">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25">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25">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25">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25">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25">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25">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25">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25">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25">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25">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25">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25">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25">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25">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25">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25">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25">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25">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25">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25">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25">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25">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25">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25">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25">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25">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25">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25">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25">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25">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25">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25">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25">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25">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25">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25">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25">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25">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25">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25">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25">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25">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25">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25">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25">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25">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25">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25">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25">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25">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25">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25">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25">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25">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25">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25">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25">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25">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25">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25">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25">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25">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25">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25">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25">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25">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25">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25">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25">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25">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25">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25">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25">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25">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25">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25">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25">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25">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25">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25">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25">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25">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25">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25">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25">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25">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25">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25">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25">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25">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25">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25">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25">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25">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25">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25">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25">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25">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25">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25">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25">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25">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25">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25">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25">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25">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25">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25">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25">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25">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25">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25">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25">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25">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25">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25">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25">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25">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25">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25">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25">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25">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25">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25">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25">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25">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25">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25">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25">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25">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25">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25">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25">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25">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25">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25">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25">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25">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25">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25">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25">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25">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25">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25">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25">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25">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25">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25">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25">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25">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25">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25">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25">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25">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25">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25">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25">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25">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25">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25">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25">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25">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25">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25">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25">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25">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25">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25">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25">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25">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25">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25">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25">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25">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25">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25">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25">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25">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25">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25">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25">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25">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25">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25">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25">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25">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25">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25">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25">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25">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25">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25">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25">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25">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25">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25">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25">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25">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25">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25">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25">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25">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25">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25">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25">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25">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25">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25">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25">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25">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25">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25">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25">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25">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25">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25">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25">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25">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25">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25">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25">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25">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25">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25">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25">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25">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25">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25">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25">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25">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25">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25">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25">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25">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25">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25">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25">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25">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25">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25">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25">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25">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25">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25">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25">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25">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25">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25">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25">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25">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25">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25">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25">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25">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25">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25">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25">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25">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25">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25">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25">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25">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25">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25">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25">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25">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25">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25">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25">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25">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25">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25">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25">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25">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25">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25">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25">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25">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25">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25">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25">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25">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25">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25">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25">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25">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25">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25">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25">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25">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25">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25">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25">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25">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25">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25">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25">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25">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25">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25">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25">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25">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25">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25">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25">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25">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25">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25">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25">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25">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25">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25">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25">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25">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25">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25">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25">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25">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25">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25">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25">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25">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25">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25">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25">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25">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25">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25">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25">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25">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25">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25">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25">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25">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25">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25">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25">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25">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25">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25">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25">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25">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25">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25">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25">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25">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25">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25">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25">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25">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25">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25">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25">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25">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25">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25">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25">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25">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25">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25">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25">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25">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25">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25">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25">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25">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25">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25">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25">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25">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25">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25">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25">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25">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25">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25">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25">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25">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25">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25">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25">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25">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25">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25">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25">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25">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25">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25">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25">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25">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25">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25">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25">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25">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25">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25">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25">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25">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25">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25">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25">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25">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25">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25">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25">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25">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25">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25">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25">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25">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25">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25">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25">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25">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25">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25">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25">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25">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25">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25">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25">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25">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25">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25">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25">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25">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25">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25">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25">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25">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25">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25">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25">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25">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25">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25">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25">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25">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25">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25">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25">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25">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25">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25">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25">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25">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25">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25">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25">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25">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25">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25">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25">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25">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25">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25">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25">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25">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25">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25">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25">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25">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25">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25">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25">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25">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25">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25">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25">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25">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25">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25">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25">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25">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25">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25">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25">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25">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25">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25">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25">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25">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25">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25">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25">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25">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25">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25">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25">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25">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25">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25">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25">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25">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25">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25">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25">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25">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25">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25">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25">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25">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25">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25">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25">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25">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25">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25">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25">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25">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25">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25">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25">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25">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25">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25">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25">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25">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25">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25">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25">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25">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25">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25">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25">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25">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25">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25">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25">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25">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25">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25">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25">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25">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25">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25">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25">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25">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25">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25">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25">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25">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25">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25">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25">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25">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25">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25">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25">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25">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25">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25">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25">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25">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25">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25">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25">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25">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25">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25">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25">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25">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25">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25">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25">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25">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25">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25">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25">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25">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25">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25">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25">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25">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25">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25">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25">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25">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25">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25">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25">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25">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25">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25">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25">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25">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25">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25">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25">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25">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25">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25">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25">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25">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25">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25">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25">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25">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25">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25">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25">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25">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25">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25">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25">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25">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25">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25">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25">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25">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25">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25">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25">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25">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25">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25">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25">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25">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25">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25">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25">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25">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25">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25">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25">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25">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25">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25">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25">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25">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25">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25">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25">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25">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25">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25">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25">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25">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25">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25">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25">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25">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25">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25">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25">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25">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25">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25">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25">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25">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25">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25">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25">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25">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25">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25">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25">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25">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25">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25">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25">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25">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25">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25">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25">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25">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25">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25">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25">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25">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25">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25">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748F-B2C9-447C-8E38-3143DA8A0FA8}">
  <dimension ref="A1"/>
  <sheetViews>
    <sheetView showGridLines="0" showRowColHeaders="0" tabSelected="1" topLeftCell="B35" zoomScaleNormal="100" workbookViewId="0">
      <selection activeCell="P63" sqref="P63"/>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Office</cp:lastModifiedBy>
  <dcterms:created xsi:type="dcterms:W3CDTF">2022-11-14T04:15:02Z</dcterms:created>
  <dcterms:modified xsi:type="dcterms:W3CDTF">2026-02-01T10:36:52Z</dcterms:modified>
</cp:coreProperties>
</file>