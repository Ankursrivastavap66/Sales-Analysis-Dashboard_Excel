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hidePivotFieldList="1"/>
  <mc:AlternateContent xmlns:mc="http://schemas.openxmlformats.org/markup-compatibility/2006">
    <mc:Choice Requires="x15">
      <x15ac:absPath xmlns:x15ac="http://schemas.microsoft.com/office/spreadsheetml/2010/11/ac" url="E:\Data science professional course recording\18.Excel\practice_material\20-sept-25 [ Excel Dashboard Projects]\"/>
    </mc:Choice>
  </mc:AlternateContent>
  <xr:revisionPtr revIDLastSave="0" documentId="13_ncr:1_{77FEB943-500D-42C1-94EB-2A63CEC01F38}" xr6:coauthVersionLast="47" xr6:coauthVersionMax="47" xr10:uidLastSave="{00000000-0000-0000-0000-000000000000}"/>
  <bookViews>
    <workbookView xWindow="-120" yWindow="-120" windowWidth="20730" windowHeight="11160" tabRatio="714" firstSheet="5" activeTab="9" xr2:uid="{00000000-000D-0000-FFFF-FFFF00000000}"/>
  </bookViews>
  <sheets>
    <sheet name="FIRM WISE" sheetId="2" state="hidden" r:id="rId1"/>
    <sheet name="MONTH WISE" sheetId="4" state="hidden" r:id="rId2"/>
    <sheet name="TAX WISE" sheetId="5" state="hidden" r:id="rId3"/>
    <sheet name="PRODUCT WISE" sheetId="6" state="hidden" r:id="rId4"/>
    <sheet name="Firm_wise" sheetId="8" r:id="rId5"/>
    <sheet name="Month_wise" sheetId="9" r:id="rId6"/>
    <sheet name="Tax_rate" sheetId="10" r:id="rId7"/>
    <sheet name="Product_wise" sheetId="11" r:id="rId8"/>
    <sheet name="State wise" sheetId="12" r:id="rId9"/>
    <sheet name="Dashboard" sheetId="13" r:id="rId10"/>
    <sheet name="DATA" sheetId="1" r:id="rId11"/>
    <sheet name="Sheet1" sheetId="7" r:id="rId12"/>
  </sheets>
  <definedNames>
    <definedName name="Slicer_Description_of_Goods">#N/A</definedName>
    <definedName name="Slicer_Firm_Name">#N/A</definedName>
    <definedName name="Slicer_Months__Date">#N/A</definedName>
    <definedName name="Slicer_State">#N/A</definedName>
    <definedName name="Slicer_Tax_Rate">#N/A</definedName>
  </definedNames>
  <calcPr calcId="191029"/>
  <pivotCaches>
    <pivotCache cacheId="0" r:id="rId13"/>
    <pivotCache cacheId="1" r:id="rId14"/>
  </pivotCaches>
  <extLst>
    <ext xmlns:x14="http://schemas.microsoft.com/office/spreadsheetml/2009/9/main" uri="{BBE1A952-AA13-448e-AADC-164F8A28A991}">
      <x14:slicerCaches>
        <x14:slicerCache r:id="rId15"/>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<sst xmlns="http://schemas.openxmlformats.org/spreadsheetml/2006/main" count="223" uniqueCount="46">
  <si>
    <t xml:space="preserve">Firm Name </t>
  </si>
  <si>
    <t>State</t>
  </si>
  <si>
    <t>Invoice No.</t>
  </si>
  <si>
    <t>Date</t>
  </si>
  <si>
    <t>Tax Rate</t>
  </si>
  <si>
    <t>Description of Goods</t>
  </si>
  <si>
    <t>Qty</t>
  </si>
  <si>
    <t>Unit</t>
  </si>
  <si>
    <t>Rate</t>
  </si>
  <si>
    <t>Taxable Value</t>
  </si>
  <si>
    <t>IGST</t>
  </si>
  <si>
    <t>CGST</t>
  </si>
  <si>
    <t>SGST</t>
  </si>
  <si>
    <t>CESS</t>
  </si>
  <si>
    <t>TOTAL</t>
  </si>
  <si>
    <t>INVOICE VALUE</t>
  </si>
  <si>
    <t>JK Enterprise</t>
  </si>
  <si>
    <t>Local</t>
  </si>
  <si>
    <t>Plywood 6mm</t>
  </si>
  <si>
    <t>PCS</t>
  </si>
  <si>
    <t>Plywood 4mm</t>
  </si>
  <si>
    <t>INTERSTATE</t>
  </si>
  <si>
    <t>SR Hardware</t>
  </si>
  <si>
    <t>LOCAL</t>
  </si>
  <si>
    <t>Row Labels</t>
  </si>
  <si>
    <t>Grand Total</t>
  </si>
  <si>
    <t>Sum of TOTAL</t>
  </si>
  <si>
    <t>Apr</t>
  </si>
  <si>
    <t>May</t>
  </si>
  <si>
    <t>Jun</t>
  </si>
  <si>
    <t>Jul</t>
  </si>
  <si>
    <t>Sum of IGST</t>
  </si>
  <si>
    <t>Sum of CGST</t>
  </si>
  <si>
    <t>Sum of SGST</t>
  </si>
  <si>
    <t>Count of CESS</t>
  </si>
  <si>
    <t>FIRM WISE</t>
  </si>
  <si>
    <t>MONTH WISE</t>
  </si>
  <si>
    <t>TAX WISE</t>
  </si>
  <si>
    <t>PRODUCT WISE</t>
  </si>
  <si>
    <t>STATE WISE</t>
  </si>
  <si>
    <t>PT_FIRM</t>
  </si>
  <si>
    <t>PT_MONTH</t>
  </si>
  <si>
    <t>PT_TAX</t>
  </si>
  <si>
    <t>PT_PRODUCT</t>
  </si>
  <si>
    <t>PT_STATE</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</si>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</sst>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
  </numFmts>
  <fonts count="6" x14ac:knownFonts="1">
    <font>
      <sz val="11"/>
      <color theme="1"/>
      <name val="Calibri"/>
      <family val="2"/>
      <scheme val="minor"/>
    </font>
    <font>
      <sz val="11"/>
      <color theme="1"/>
      <name val="Calibri"/>
      <family val="2"/>
      <scheme val="minor"/>
    </font>
    <font>
      <sz val="12"/>
      <color theme="1"/>
      <name val="Calibri"/>
      <family val="2"/>
      <scheme val="minor"/>
    </font>
    <font>
      <sz val="16"/>
      <color rgb="FFFF0000"/>
      <name val="Calibri"/>
      <family val="2"/>
      <scheme val="minor"/>
    </font>
    <font>
      <b/>
      <sz val="14"/>
      <color theme="0"/>
      <name val="Calibri"/>
      <family val="2"/>
      <scheme val="minor"/>
    </font>
    <font>
      <sz val="14"/>
      <color theme="1"/>
      <name val="Calibri"/>
      <family val="2"/>
      <scheme val="minor"/>
    </font>
  </fonts>
  <fills count="7">
    <fill>
      <patternFill patternType="none"/>
    </fill>
    <fill>
      <patternFill patternType="gray125"/>
    </fill>
    <fill>
      <patternFill patternType="solid">
        <fgColor theme="9" tint="0.59999389629810485"/>
        <bgColor indexed="65"/>
      </patternFill>
    </fill>
    <fill>
      <patternFill patternType="solid">
        <fgColor rgb="FFFFC000"/>
        <bgColor indexed="64"/>
      </patternFill>
    </fill>
    <fill>
      <patternFill patternType="solid">
        <fgColor theme="4" tint="0.79998168889431442"/>
        <bgColor theme="4" tint="0.79998168889431442"/>
      </patternFill>
    </fill>
    <fill>
      <patternFill patternType="solid">
        <fgColor theme="5"/>
        <bgColor indexed="64"/>
      </patternFill>
    </fill>
    <fill>
      <patternFill patternType="solid">
        <fgColor theme="0" tint="-0.249977111117893"/>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top style="thin">
        <color indexed="64"/>
      </top>
      <bottom/>
      <diagonal/>
    </border>
  </borders>
  <cellStyleXfs count="2">
    <xf numFmtId="0" fontId="0" fillId="0" borderId="0"/>
    <xf numFmtId="0" fontId="1" fillId="2" borderId="0" applyNumberFormat="0" applyBorder="0" applyAlignment="0" applyProtection="0"/>
  </cellStyleXfs>
  <cellXfs count="44">
    <xf numFmtId="0" fontId="0" fillId="0" borderId="0" xfId="0"/>
    <xf numFmtId="0" fontId="0" fillId="0" borderId="0" xfId="0" pivotButton="1"/>
    <xf numFmtId="0" fontId="0" fillId="0" borderId="0" xfId="0" applyAlignment="1">
      <alignment horizontal="left"/>
    </xf>
    <xf numFmtId="14" fontId="0" fillId="0" borderId="0" xfId="0" applyNumberFormat="1" applyAlignment="1">
      <alignment horizontal="left"/>
    </xf>
    <xf numFmtId="10" fontId="0" fillId="0" borderId="0" xfId="0" applyNumberFormat="1" applyAlignment="1">
      <alignment horizontal="left"/>
    </xf>
    <xf numFmtId="0" fontId="3" fillId="0" borderId="1" xfId="0" applyFont="1" applyBorder="1"/>
    <xf numFmtId="9" fontId="4" fillId="3" borderId="4" xfId="0" applyNumberFormat="1" applyFont="1" applyFill="1" applyBorder="1" applyAlignment="1">
      <alignment horizontal="center" vertical="center"/>
    </xf>
    <xf numFmtId="10" fontId="4" fillId="3" borderId="4" xfId="0" applyNumberFormat="1" applyFont="1" applyFill="1" applyBorder="1" applyAlignment="1">
      <alignment horizontal="center" vertical="center"/>
    </xf>
    <xf numFmtId="164" fontId="4" fillId="3" borderId="4" xfId="0" applyNumberFormat="1" applyFont="1" applyFill="1" applyBorder="1" applyAlignment="1">
      <alignment horizontal="center" vertical="center"/>
    </xf>
    <xf numFmtId="9" fontId="4" fillId="3" borderId="2" xfId="0" applyNumberFormat="1" applyFont="1" applyFill="1" applyBorder="1" applyAlignment="1">
      <alignment horizontal="center" vertical="center"/>
    </xf>
    <xf numFmtId="0" fontId="2" fillId="4" borderId="4" xfId="1" applyFont="1" applyFill="1" applyBorder="1" applyAlignment="1">
      <alignment horizontal="center" vertical="center"/>
    </xf>
    <xf numFmtId="14" fontId="2" fillId="4" borderId="4" xfId="1" applyNumberFormat="1" applyFont="1" applyFill="1" applyBorder="1" applyAlignment="1">
      <alignment horizontal="center" vertical="center"/>
    </xf>
    <xf numFmtId="10" fontId="2" fillId="4" borderId="4" xfId="1" applyNumberFormat="1" applyFont="1" applyFill="1" applyBorder="1" applyAlignment="1">
      <alignment horizontal="center" vertical="center"/>
    </xf>
    <xf numFmtId="4" fontId="2" fillId="4" borderId="4" xfId="1" applyNumberFormat="1" applyFont="1" applyFill="1" applyBorder="1" applyAlignment="1">
      <alignment horizontal="center" vertical="center"/>
    </xf>
    <xf numFmtId="4" fontId="2" fillId="4" borderId="4" xfId="0" applyNumberFormat="1" applyFont="1" applyFill="1" applyBorder="1"/>
    <xf numFmtId="4" fontId="2" fillId="4" borderId="4" xfId="1" applyNumberFormat="1" applyFont="1" applyFill="1" applyBorder="1"/>
    <xf numFmtId="4" fontId="2" fillId="4" borderId="2" xfId="0" applyNumberFormat="1" applyFont="1" applyFill="1" applyBorder="1"/>
    <xf numFmtId="0" fontId="2" fillId="2" borderId="4" xfId="1" applyFont="1" applyBorder="1" applyAlignment="1">
      <alignment horizontal="center" vertical="center"/>
    </xf>
    <xf numFmtId="14" fontId="2" fillId="2" borderId="4" xfId="1" applyNumberFormat="1" applyFont="1" applyBorder="1" applyAlignment="1">
      <alignment horizontal="center" vertical="center"/>
    </xf>
    <xf numFmtId="10" fontId="2" fillId="2" borderId="4" xfId="1" applyNumberFormat="1" applyFont="1" applyBorder="1" applyAlignment="1">
      <alignment horizontal="center" vertical="center"/>
    </xf>
    <xf numFmtId="4" fontId="2" fillId="2" borderId="4" xfId="1" applyNumberFormat="1" applyFont="1" applyBorder="1" applyAlignment="1">
      <alignment horizontal="center" vertical="center"/>
    </xf>
    <xf numFmtId="4" fontId="2" fillId="0" borderId="4" xfId="0" applyNumberFormat="1" applyFont="1" applyBorder="1"/>
    <xf numFmtId="4" fontId="2" fillId="2" borderId="4" xfId="1" applyNumberFormat="1" applyFont="1" applyBorder="1"/>
    <xf numFmtId="4" fontId="2" fillId="0" borderId="2" xfId="0" applyNumberFormat="1" applyFont="1" applyBorder="1"/>
    <xf numFmtId="10" fontId="2" fillId="4" borderId="4" xfId="1" applyNumberFormat="1" applyFont="1" applyFill="1" applyBorder="1" applyAlignment="1">
      <alignment horizontal="center"/>
    </xf>
    <xf numFmtId="0" fontId="2" fillId="4" borderId="4" xfId="1" applyFont="1" applyFill="1" applyBorder="1" applyAlignment="1">
      <alignment horizontal="center"/>
    </xf>
    <xf numFmtId="10" fontId="2" fillId="2" borderId="4" xfId="1" applyNumberFormat="1" applyFont="1" applyBorder="1" applyAlignment="1">
      <alignment horizontal="center"/>
    </xf>
    <xf numFmtId="0" fontId="2" fillId="2" borderId="4" xfId="1" applyFont="1" applyBorder="1" applyAlignment="1">
      <alignment horizontal="center"/>
    </xf>
    <xf numFmtId="0" fontId="2" fillId="2" borderId="3" xfId="1" applyFont="1" applyBorder="1" applyAlignment="1">
      <alignment horizontal="center" vertical="center"/>
    </xf>
    <xf numFmtId="14" fontId="2" fillId="2" borderId="3" xfId="1" applyNumberFormat="1" applyFont="1" applyBorder="1" applyAlignment="1">
      <alignment horizontal="center" vertical="center"/>
    </xf>
    <xf numFmtId="10" fontId="2" fillId="2" borderId="3" xfId="1" applyNumberFormat="1" applyFont="1" applyBorder="1" applyAlignment="1">
      <alignment horizontal="center"/>
    </xf>
    <xf numFmtId="0" fontId="2" fillId="2" borderId="3" xfId="1" applyFont="1" applyBorder="1" applyAlignment="1">
      <alignment horizontal="center"/>
    </xf>
    <xf numFmtId="10" fontId="2" fillId="2" borderId="3" xfId="1" applyNumberFormat="1" applyFont="1" applyBorder="1" applyAlignment="1">
      <alignment horizontal="center" vertical="center"/>
    </xf>
    <xf numFmtId="4" fontId="2" fillId="2" borderId="3" xfId="1" applyNumberFormat="1" applyFont="1" applyBorder="1" applyAlignment="1">
      <alignment horizontal="center" vertical="center"/>
    </xf>
    <xf numFmtId="4" fontId="2" fillId="0" borderId="3" xfId="0" applyNumberFormat="1" applyFont="1" applyBorder="1"/>
    <xf numFmtId="4" fontId="2" fillId="2" borderId="3" xfId="1" applyNumberFormat="1" applyFont="1" applyBorder="1"/>
    <xf numFmtId="4" fontId="2" fillId="0" borderId="1" xfId="0" applyNumberFormat="1" applyFont="1" applyBorder="1"/>
    <xf numFmtId="4" fontId="0" fillId="0" borderId="0" xfId="0" applyNumberFormat="1"/>
    <xf numFmtId="0" fontId="5" fillId="0" borderId="0" xfId="0" pivotButton="1" applyFont="1"/>
    <xf numFmtId="0" fontId="5" fillId="0" borderId="0" xfId="0" applyFont="1"/>
    <xf numFmtId="0" fontId="5" fillId="0" borderId="0" xfId="0" applyFont="1" applyAlignment="1">
      <alignment horizontal="left"/>
    </xf>
    <xf numFmtId="4" fontId="5" fillId="0" borderId="0" xfId="0" applyNumberFormat="1" applyFont="1"/>
    <xf numFmtId="0" fontId="0" fillId="5" borderId="0" xfId="0" applyFill="1"/>
    <xf numFmtId="0" fontId="0" fillId="6" borderId="0" xfId="0" applyFill="1"/>
  </cellXfs>
  <cellStyles count="2">
    <cellStyle name="40% - Accent6" xfId="1" builtinId="51"/>
    <cellStyle name="Normal" xfId="0" builtinId="0"/>
  </cellStyles>
  <dxfs count="187">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color theme="0"/>
      </font>
      <fill>
        <patternFill>
          <bgColor theme="9" tint="-0.24994659260841701"/>
        </patternFill>
      </fill>
    </dxf>
    <dxf>
      <font>
        <b/>
        <i val="0"/>
        <color theme="0"/>
      </font>
      <fill>
        <patternFill>
          <bgColor theme="9" tint="-0.24994659260841701"/>
        </patternFill>
      </fill>
    </dxf>
    <dxf>
      <font>
        <color theme="0"/>
      </font>
      <fill>
        <patternFill>
          <bgColor theme="9" tint="-0.24994659260841701"/>
        </patternFill>
      </fill>
    </dxf>
    <dxf>
      <font>
        <b/>
        <i val="0"/>
        <color theme="0"/>
      </font>
      <fill>
        <patternFill>
          <bgColor theme="9" tint="-0.24994659260841701"/>
        </patternFill>
      </fill>
    </dxf>
    <dxf>
      <font>
        <b/>
        <i val="0"/>
        <color theme="0"/>
      </font>
      <fill>
        <patternFill>
          <bgColor theme="9" tint="-0.24994659260841701"/>
        </patternFill>
      </fill>
    </dxf>
    <dxf>
      <font>
        <color theme="0"/>
      </font>
      <fill>
        <patternFill>
          <bgColor theme="9" tint="-0.24994659260841701"/>
        </patternFill>
      </fill>
    </dxf>
    <dxf>
      <font>
        <color theme="0"/>
      </font>
      <fill>
        <patternFill>
          <bgColor theme="9" tint="-0.24994659260841701"/>
        </patternFill>
      </fill>
    </dxf>
    <dxf>
      <font>
        <color theme="0"/>
      </font>
      <fill>
        <patternFill>
          <bgColor theme="9" tint="-0.24994659260841701"/>
        </patternFill>
      </fill>
    </dxf>
    <dxf>
      <font>
        <b/>
        <i val="0"/>
        <color theme="0"/>
      </font>
      <fill>
        <patternFill>
          <bgColor theme="9" tint="-0.24994659260841701"/>
        </patternFill>
      </fill>
    </dxf>
    <dxf>
      <font>
        <color theme="0"/>
      </font>
      <fill>
        <patternFill>
          <bgColor theme="9" tint="-0.24994659260841701"/>
        </patternFill>
      </fill>
    </dxf>
    <dxf>
      <font>
        <b/>
        <i val="0"/>
        <color theme="0"/>
      </font>
      <fill>
        <patternFill>
          <bgColor theme="9" tint="-0.24994659260841701"/>
        </patternFill>
      </fill>
    </dxf>
    <dxf>
      <font>
        <b/>
        <i val="0"/>
        <color theme="0"/>
      </font>
      <fill>
        <patternFill>
          <bgColor theme="9" tint="-0.24994659260841701"/>
        </patternFill>
      </fill>
    </dxf>
    <dxf>
      <font>
        <color theme="0"/>
      </font>
      <fill>
        <patternFill>
          <bgColor theme="9" tint="-0.24994659260841701"/>
        </patternFill>
      </fill>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07/relationships/slicerCache" Target="slicerCaches/slicerCache4.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microsoft.com/office/2007/relationships/slicerCache" Target="slicerCaches/slicerCache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 Practice.xlsx]Firm_wise!PivotTable1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Firm</a:t>
            </a:r>
            <a:r>
              <a:rPr lang="en-US" baseline="0"/>
              <a:t> Wise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manualLayout>
          <c:layoutTarget val="inner"/>
          <c:xMode val="edge"/>
          <c:yMode val="edge"/>
          <c:x val="0.1655664916885389"/>
          <c:y val="0.26791447944006996"/>
          <c:w val="0.41147353455818025"/>
          <c:h val="0.68578922426363376"/>
        </c:manualLayout>
      </c:layout>
      <c:pieChart>
        <c:varyColors val="1"/>
        <c:ser>
          <c:idx val="0"/>
          <c:order val="0"/>
          <c:tx>
            <c:strRef>
              <c:f>Firm_wise!$B$3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B6D-445C-A366-20E184EE36A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B6D-445C-A366-20E184EE36A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Firm_wise!$A$4:$A$6</c:f>
              <c:strCache>
                <c:ptCount val="2"/>
                <c:pt idx="0">
                  <c:v>JK Enterprise</c:v>
                </c:pt>
                <c:pt idx="1">
                  <c:v>SR Hardware</c:v>
                </c:pt>
              </c:strCache>
            </c:strRef>
          </c:cat>
          <c:val>
            <c:numRef>
              <c:f>Firm_wise!$B$4:$B$6</c:f>
              <c:numCache>
                <c:formatCode>#,##0.00</c:formatCode>
                <c:ptCount val="2"/>
                <c:pt idx="0">
                  <c:v>410376.47000000003</c:v>
                </c:pt>
                <c:pt idx="1">
                  <c:v>459587.38999999996</c:v>
                </c:pt>
              </c:numCache>
            </c:numRef>
          </c:val>
          <c:extLst>
            <c:ext xmlns:c16="http://schemas.microsoft.com/office/drawing/2014/chart" uri="{C3380CC4-5D6E-409C-BE32-E72D297353CC}">
              <c16:uniqueId val="{00000000-84FC-4544-AEBD-1D01C7459C5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 Practice.xlsx]Firm_wise!PivotTable1</c:name>
    <c:fmtId val="3"/>
  </c:pivotSource>
  <c:chart>
    <c:autoTitleDeleted val="1"/>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1655664916885389"/>
          <c:y val="0.26791447944006996"/>
          <c:w val="0.41147353455818025"/>
          <c:h val="0.68578922426363376"/>
        </c:manualLayout>
      </c:layout>
      <c:pieChart>
        <c:varyColors val="1"/>
        <c:ser>
          <c:idx val="0"/>
          <c:order val="0"/>
          <c:tx>
            <c:strRef>
              <c:f>Firm_wise!$B$3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F3A-47AE-B90E-1172E9C6A56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F3A-47AE-B90E-1172E9C6A56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Firm_wise!$A$4:$A$6</c:f>
              <c:strCache>
                <c:ptCount val="2"/>
                <c:pt idx="0">
                  <c:v>JK Enterprise</c:v>
                </c:pt>
                <c:pt idx="1">
                  <c:v>SR Hardware</c:v>
                </c:pt>
              </c:strCache>
            </c:strRef>
          </c:cat>
          <c:val>
            <c:numRef>
              <c:f>Firm_wise!$B$4:$B$6</c:f>
              <c:numCache>
                <c:formatCode>#,##0.00</c:formatCode>
                <c:ptCount val="2"/>
                <c:pt idx="0">
                  <c:v>410376.47000000003</c:v>
                </c:pt>
                <c:pt idx="1">
                  <c:v>459587.38999999996</c:v>
                </c:pt>
              </c:numCache>
            </c:numRef>
          </c:val>
          <c:extLst>
            <c:ext xmlns:c16="http://schemas.microsoft.com/office/drawing/2014/chart" uri="{C3380CC4-5D6E-409C-BE32-E72D297353CC}">
              <c16:uniqueId val="{00000004-8F3A-47AE-B90E-1172E9C6A56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 Practice.xlsx]Month_wise!PivotTable2</c:name>
    <c:fmtId val="3"/>
  </c:pivotSource>
  <c:chart>
    <c:title>
      <c:tx>
        <c:rich>
          <a:bodyPr rot="0" spcFirstLastPara="1" vertOverflow="ellipsis" vert="horz" wrap="square" anchor="ctr" anchorCtr="1"/>
          <a:lstStyle/>
          <a:p>
            <a:pPr>
              <a:defRPr sz="1400" b="1" i="0" u="sng" strike="noStrike" kern="1200" spc="0" baseline="0">
                <a:solidFill>
                  <a:schemeClr val="tx1">
                    <a:lumMod val="65000"/>
                    <a:lumOff val="35000"/>
                  </a:schemeClr>
                </a:solidFill>
                <a:latin typeface="+mn-lt"/>
                <a:ea typeface="+mn-ea"/>
                <a:cs typeface="+mn-cs"/>
              </a:defRPr>
            </a:pPr>
            <a:r>
              <a:rPr lang="en-US" b="1" i="0" u="sng" baseline="0"/>
              <a:t>Month Wise</a:t>
            </a:r>
          </a:p>
        </c:rich>
      </c:tx>
      <c:overlay val="0"/>
      <c:spPr>
        <a:noFill/>
        <a:ln>
          <a:noFill/>
        </a:ln>
        <a:effectLst/>
      </c:spPr>
      <c:txPr>
        <a:bodyPr rot="0" spcFirstLastPara="1" vertOverflow="ellipsis" vert="horz" wrap="square" anchor="ctr" anchorCtr="1"/>
        <a:lstStyle/>
        <a:p>
          <a:pPr>
            <a:defRPr sz="1400" b="1" i="0" u="sng"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solidFill>
              <a:srgbClr val="FFC000"/>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a:sp3d/>
        </c:spPr>
        <c:dLbl>
          <c:idx val="0"/>
          <c:layout>
            <c:manualLayout>
              <c:x val="0"/>
              <c:y val="-3.7037037037037125E-2"/>
            </c:manualLayout>
          </c:layout>
          <c:spPr>
            <a:solidFill>
              <a:srgbClr val="FFC000"/>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a:sp3d/>
        </c:spPr>
        <c:dLbl>
          <c:idx val="0"/>
          <c:spPr>
            <a:solidFill>
              <a:srgbClr val="FFC000"/>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900" b="0" i="0" u="none" strike="noStrike" kern="1200" baseline="0">
                  <a:solidFill>
                    <a:sysClr val="windowText" lastClr="000000">
                      <a:lumMod val="65000"/>
                      <a:lumOff val="35000"/>
                    </a:sys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solidFill>
              <a:srgbClr val="FFC000"/>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a:noFill/>
          </a:ln>
          <a:effectLst/>
          <a:sp3d/>
        </c:spPr>
        <c:dLbl>
          <c:idx val="0"/>
          <c:layout>
            <c:manualLayout>
              <c:x val="0"/>
              <c:y val="-3.7037037037037125E-2"/>
            </c:manualLayout>
          </c:layout>
          <c:spPr>
            <a:solidFill>
              <a:srgbClr val="FFC000"/>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a:noFill/>
          </a:ln>
          <a:effectLst/>
          <a:sp3d/>
        </c:spPr>
        <c:marker>
          <c:symbol val="none"/>
        </c:marker>
        <c:dLbl>
          <c:idx val="0"/>
          <c:spPr>
            <a:solidFill>
              <a:srgbClr val="FFC000"/>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a:noFill/>
          </a:ln>
          <a:effectLst/>
          <a:sp3d/>
        </c:spPr>
        <c:dLbl>
          <c:idx val="0"/>
          <c:layout>
            <c:manualLayout>
              <c:x val="0"/>
              <c:y val="-3.7037037037037125E-2"/>
            </c:manualLayout>
          </c:layout>
          <c:spPr>
            <a:solidFill>
              <a:srgbClr val="FFC000"/>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Month_wise!$B$3</c:f>
              <c:strCache>
                <c:ptCount val="1"/>
                <c:pt idx="0">
                  <c:v>Total</c:v>
                </c:pt>
              </c:strCache>
            </c:strRef>
          </c:tx>
          <c:spPr>
            <a:solidFill>
              <a:schemeClr val="accent1"/>
            </a:solidFill>
            <a:ln>
              <a:noFill/>
            </a:ln>
            <a:effectLst/>
            <a:sp3d/>
          </c:spPr>
          <c:invertIfNegative val="0"/>
          <c:dPt>
            <c:idx val="3"/>
            <c:invertIfNegative val="0"/>
            <c:bubble3D val="0"/>
            <c:spPr>
              <a:solidFill>
                <a:schemeClr val="accent1"/>
              </a:solidFill>
              <a:ln>
                <a:noFill/>
              </a:ln>
              <a:effectLst/>
              <a:sp3d/>
            </c:spPr>
            <c:extLst>
              <c:ext xmlns:c16="http://schemas.microsoft.com/office/drawing/2014/chart" uri="{C3380CC4-5D6E-409C-BE32-E72D297353CC}">
                <c16:uniqueId val="{00000000-AB0F-489D-806B-0D5283E742B5}"/>
              </c:ext>
            </c:extLst>
          </c:dPt>
          <c:dLbls>
            <c:dLbl>
              <c:idx val="3"/>
              <c:layout>
                <c:manualLayout>
                  <c:x val="0"/>
                  <c:y val="-3.7037037037037125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B0F-489D-806B-0D5283E742B5}"/>
                </c:ext>
              </c:extLst>
            </c:dLbl>
            <c:spPr>
              <a:solidFill>
                <a:srgbClr val="FFC000"/>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Month_wise!$A$4:$A$8</c:f>
              <c:strCache>
                <c:ptCount val="4"/>
                <c:pt idx="0">
                  <c:v>Apr</c:v>
                </c:pt>
                <c:pt idx="1">
                  <c:v>May</c:v>
                </c:pt>
                <c:pt idx="2">
                  <c:v>Jun</c:v>
                </c:pt>
                <c:pt idx="3">
                  <c:v>Jul</c:v>
                </c:pt>
              </c:strCache>
            </c:strRef>
          </c:cat>
          <c:val>
            <c:numRef>
              <c:f>Month_wise!$B$4:$B$8</c:f>
              <c:numCache>
                <c:formatCode>#,##0.00</c:formatCode>
                <c:ptCount val="4"/>
                <c:pt idx="0">
                  <c:v>21004</c:v>
                </c:pt>
                <c:pt idx="1">
                  <c:v>229752.43999999997</c:v>
                </c:pt>
                <c:pt idx="2">
                  <c:v>389805.09</c:v>
                </c:pt>
                <c:pt idx="3">
                  <c:v>229402.33</c:v>
                </c:pt>
              </c:numCache>
            </c:numRef>
          </c:val>
          <c:extLst>
            <c:ext xmlns:c16="http://schemas.microsoft.com/office/drawing/2014/chart" uri="{C3380CC4-5D6E-409C-BE32-E72D297353CC}">
              <c16:uniqueId val="{00000001-AB0F-489D-806B-0D5283E742B5}"/>
            </c:ext>
          </c:extLst>
        </c:ser>
        <c:dLbls>
          <c:showLegendKey val="0"/>
          <c:showVal val="0"/>
          <c:showCatName val="0"/>
          <c:showSerName val="0"/>
          <c:showPercent val="0"/>
          <c:showBubbleSize val="0"/>
        </c:dLbls>
        <c:gapWidth val="150"/>
        <c:shape val="box"/>
        <c:axId val="1109768255"/>
        <c:axId val="1109769215"/>
        <c:axId val="0"/>
      </c:bar3DChart>
      <c:catAx>
        <c:axId val="11097682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9769215"/>
        <c:crosses val="autoZero"/>
        <c:auto val="1"/>
        <c:lblAlgn val="ctr"/>
        <c:lblOffset val="100"/>
        <c:noMultiLvlLbl val="0"/>
      </c:catAx>
      <c:valAx>
        <c:axId val="1109769215"/>
        <c:scaling>
          <c:orientation val="minMax"/>
        </c:scaling>
        <c:delete val="1"/>
        <c:axPos val="l"/>
        <c:numFmt formatCode="#,##0.00" sourceLinked="1"/>
        <c:majorTickMark val="none"/>
        <c:minorTickMark val="none"/>
        <c:tickLblPos val="nextTo"/>
        <c:crossAx val="1109768255"/>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 Practice.xlsx]Tax_rate!PivotTable3</c:name>
    <c:fmtId val="4"/>
  </c:pivotSource>
  <c:chart>
    <c:title>
      <c:tx>
        <c:rich>
          <a:bodyPr rot="0" spcFirstLastPara="1" vertOverflow="ellipsis" vert="horz" wrap="square" anchor="ctr" anchorCtr="1"/>
          <a:lstStyle/>
          <a:p>
            <a:pPr algn="ctr" rtl="0">
              <a:defRPr lang="en-IN" sz="1400" b="1" i="0" u="sng" strike="noStrike" kern="1200" spc="0" baseline="0">
                <a:solidFill>
                  <a:sysClr val="windowText" lastClr="000000">
                    <a:lumMod val="65000"/>
                    <a:lumOff val="35000"/>
                  </a:sysClr>
                </a:solidFill>
                <a:latin typeface="+mn-lt"/>
                <a:ea typeface="+mn-ea"/>
                <a:cs typeface="+mn-cs"/>
              </a:defRPr>
            </a:pPr>
            <a:r>
              <a:rPr lang="en-IN" sz="1400" b="1" i="0" u="sng" strike="noStrike" kern="1200" spc="0" baseline="0">
                <a:solidFill>
                  <a:sysClr val="windowText" lastClr="000000">
                    <a:lumMod val="65000"/>
                    <a:lumOff val="35000"/>
                  </a:sysClr>
                </a:solidFill>
                <a:latin typeface="+mn-lt"/>
                <a:ea typeface="+mn-ea"/>
                <a:cs typeface="+mn-cs"/>
              </a:rPr>
              <a:t>Tax wise</a:t>
            </a:r>
          </a:p>
        </c:rich>
      </c:tx>
      <c:overlay val="0"/>
      <c:spPr>
        <a:noFill/>
        <a:ln>
          <a:noFill/>
        </a:ln>
        <a:effectLst/>
      </c:spPr>
      <c:txPr>
        <a:bodyPr rot="0" spcFirstLastPara="1" vertOverflow="ellipsis" vert="horz" wrap="square" anchor="ctr" anchorCtr="1"/>
        <a:lstStyle/>
        <a:p>
          <a:pPr algn="ctr" rtl="0">
            <a:defRPr lang="en-IN" sz="1400" b="1" i="0" u="sng"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Tax_rate!$B$3</c:f>
              <c:strCache>
                <c:ptCount val="1"/>
                <c:pt idx="0">
                  <c:v>Sum of IGST</c:v>
                </c:pt>
              </c:strCache>
            </c:strRef>
          </c:tx>
          <c:spPr>
            <a:solidFill>
              <a:schemeClr val="accent1"/>
            </a:solidFill>
            <a:ln>
              <a:noFill/>
            </a:ln>
            <a:effectLst/>
            <a:sp3d/>
          </c:spPr>
          <c:invertIfNegative val="0"/>
          <c:cat>
            <c:strRef>
              <c:f>Tax_rate!$A$4:$A$11</c:f>
              <c:strCache>
                <c:ptCount val="7"/>
                <c:pt idx="0">
                  <c:v>0.00%</c:v>
                </c:pt>
                <c:pt idx="1">
                  <c:v>0.10%</c:v>
                </c:pt>
                <c:pt idx="2">
                  <c:v>3.00%</c:v>
                </c:pt>
                <c:pt idx="3">
                  <c:v>5.00%</c:v>
                </c:pt>
                <c:pt idx="4">
                  <c:v>12.00%</c:v>
                </c:pt>
                <c:pt idx="5">
                  <c:v>18.00%</c:v>
                </c:pt>
                <c:pt idx="6">
                  <c:v>28.00%</c:v>
                </c:pt>
              </c:strCache>
            </c:strRef>
          </c:cat>
          <c:val>
            <c:numRef>
              <c:f>Tax_rate!$B$4:$B$11</c:f>
              <c:numCache>
                <c:formatCode>#,##0.00</c:formatCode>
                <c:ptCount val="7"/>
                <c:pt idx="0">
                  <c:v>0</c:v>
                </c:pt>
                <c:pt idx="1">
                  <c:v>0</c:v>
                </c:pt>
                <c:pt idx="2">
                  <c:v>1505.25</c:v>
                </c:pt>
                <c:pt idx="3">
                  <c:v>1393.75</c:v>
                </c:pt>
                <c:pt idx="4">
                  <c:v>0</c:v>
                </c:pt>
                <c:pt idx="5">
                  <c:v>8429.4</c:v>
                </c:pt>
                <c:pt idx="6">
                  <c:v>0</c:v>
                </c:pt>
              </c:numCache>
            </c:numRef>
          </c:val>
          <c:extLst>
            <c:ext xmlns:c16="http://schemas.microsoft.com/office/drawing/2014/chart" uri="{C3380CC4-5D6E-409C-BE32-E72D297353CC}">
              <c16:uniqueId val="{00000000-DBC0-46A1-A84D-25A19047BFE8}"/>
            </c:ext>
          </c:extLst>
        </c:ser>
        <c:ser>
          <c:idx val="1"/>
          <c:order val="1"/>
          <c:tx>
            <c:strRef>
              <c:f>Tax_rate!$C$3</c:f>
              <c:strCache>
                <c:ptCount val="1"/>
                <c:pt idx="0">
                  <c:v>Sum of CGST</c:v>
                </c:pt>
              </c:strCache>
            </c:strRef>
          </c:tx>
          <c:spPr>
            <a:solidFill>
              <a:schemeClr val="accent2"/>
            </a:solidFill>
            <a:ln>
              <a:noFill/>
            </a:ln>
            <a:effectLst/>
            <a:sp3d/>
          </c:spPr>
          <c:invertIfNegative val="0"/>
          <c:cat>
            <c:strRef>
              <c:f>Tax_rate!$A$4:$A$11</c:f>
              <c:strCache>
                <c:ptCount val="7"/>
                <c:pt idx="0">
                  <c:v>0.00%</c:v>
                </c:pt>
                <c:pt idx="1">
                  <c:v>0.10%</c:v>
                </c:pt>
                <c:pt idx="2">
                  <c:v>3.00%</c:v>
                </c:pt>
                <c:pt idx="3">
                  <c:v>5.00%</c:v>
                </c:pt>
                <c:pt idx="4">
                  <c:v>12.00%</c:v>
                </c:pt>
                <c:pt idx="5">
                  <c:v>18.00%</c:v>
                </c:pt>
                <c:pt idx="6">
                  <c:v>28.00%</c:v>
                </c:pt>
              </c:strCache>
            </c:strRef>
          </c:cat>
          <c:val>
            <c:numRef>
              <c:f>Tax_rate!$C$4:$C$11</c:f>
              <c:numCache>
                <c:formatCode>#,##0.00</c:formatCode>
                <c:ptCount val="7"/>
                <c:pt idx="0">
                  <c:v>0</c:v>
                </c:pt>
                <c:pt idx="1">
                  <c:v>46.83</c:v>
                </c:pt>
                <c:pt idx="2">
                  <c:v>1087.125</c:v>
                </c:pt>
                <c:pt idx="3">
                  <c:v>2871.125</c:v>
                </c:pt>
                <c:pt idx="4">
                  <c:v>7559.4</c:v>
                </c:pt>
                <c:pt idx="5">
                  <c:v>3307.95</c:v>
                </c:pt>
                <c:pt idx="6">
                  <c:v>19200.300000000003</c:v>
                </c:pt>
              </c:numCache>
            </c:numRef>
          </c:val>
          <c:extLst>
            <c:ext xmlns:c16="http://schemas.microsoft.com/office/drawing/2014/chart" uri="{C3380CC4-5D6E-409C-BE32-E72D297353CC}">
              <c16:uniqueId val="{00000001-DBC0-46A1-A84D-25A19047BFE8}"/>
            </c:ext>
          </c:extLst>
        </c:ser>
        <c:ser>
          <c:idx val="2"/>
          <c:order val="2"/>
          <c:tx>
            <c:strRef>
              <c:f>Tax_rate!$D$3</c:f>
              <c:strCache>
                <c:ptCount val="1"/>
                <c:pt idx="0">
                  <c:v>Sum of SGST</c:v>
                </c:pt>
              </c:strCache>
            </c:strRef>
          </c:tx>
          <c:spPr>
            <a:solidFill>
              <a:schemeClr val="accent3"/>
            </a:solidFill>
            <a:ln>
              <a:noFill/>
            </a:ln>
            <a:effectLst/>
            <a:sp3d/>
          </c:spPr>
          <c:invertIfNegative val="0"/>
          <c:cat>
            <c:strRef>
              <c:f>Tax_rate!$A$4:$A$11</c:f>
              <c:strCache>
                <c:ptCount val="7"/>
                <c:pt idx="0">
                  <c:v>0.00%</c:v>
                </c:pt>
                <c:pt idx="1">
                  <c:v>0.10%</c:v>
                </c:pt>
                <c:pt idx="2">
                  <c:v>3.00%</c:v>
                </c:pt>
                <c:pt idx="3">
                  <c:v>5.00%</c:v>
                </c:pt>
                <c:pt idx="4">
                  <c:v>12.00%</c:v>
                </c:pt>
                <c:pt idx="5">
                  <c:v>18.00%</c:v>
                </c:pt>
                <c:pt idx="6">
                  <c:v>28.00%</c:v>
                </c:pt>
              </c:strCache>
            </c:strRef>
          </c:cat>
          <c:val>
            <c:numRef>
              <c:f>Tax_rate!$D$4:$D$11</c:f>
              <c:numCache>
                <c:formatCode>#,##0.00</c:formatCode>
                <c:ptCount val="7"/>
                <c:pt idx="0">
                  <c:v>0</c:v>
                </c:pt>
                <c:pt idx="1">
                  <c:v>46.83</c:v>
                </c:pt>
                <c:pt idx="2">
                  <c:v>1087.125</c:v>
                </c:pt>
                <c:pt idx="3">
                  <c:v>2871.125</c:v>
                </c:pt>
                <c:pt idx="4">
                  <c:v>7559.4</c:v>
                </c:pt>
                <c:pt idx="5">
                  <c:v>3307.95</c:v>
                </c:pt>
                <c:pt idx="6">
                  <c:v>19200.300000000003</c:v>
                </c:pt>
              </c:numCache>
            </c:numRef>
          </c:val>
          <c:extLst>
            <c:ext xmlns:c16="http://schemas.microsoft.com/office/drawing/2014/chart" uri="{C3380CC4-5D6E-409C-BE32-E72D297353CC}">
              <c16:uniqueId val="{00000002-DBC0-46A1-A84D-25A19047BFE8}"/>
            </c:ext>
          </c:extLst>
        </c:ser>
        <c:ser>
          <c:idx val="3"/>
          <c:order val="3"/>
          <c:tx>
            <c:strRef>
              <c:f>Tax_rate!$E$3</c:f>
              <c:strCache>
                <c:ptCount val="1"/>
                <c:pt idx="0">
                  <c:v>Sum of TOTAL</c:v>
                </c:pt>
              </c:strCache>
            </c:strRef>
          </c:tx>
          <c:spPr>
            <a:solidFill>
              <a:schemeClr val="accent4"/>
            </a:solidFill>
            <a:ln>
              <a:noFill/>
            </a:ln>
            <a:effectLst/>
            <a:sp3d/>
          </c:spPr>
          <c:invertIfNegative val="0"/>
          <c:cat>
            <c:strRef>
              <c:f>Tax_rate!$A$4:$A$11</c:f>
              <c:strCache>
                <c:ptCount val="7"/>
                <c:pt idx="0">
                  <c:v>0.00%</c:v>
                </c:pt>
                <c:pt idx="1">
                  <c:v>0.10%</c:v>
                </c:pt>
                <c:pt idx="2">
                  <c:v>3.00%</c:v>
                </c:pt>
                <c:pt idx="3">
                  <c:v>5.00%</c:v>
                </c:pt>
                <c:pt idx="4">
                  <c:v>12.00%</c:v>
                </c:pt>
                <c:pt idx="5">
                  <c:v>18.00%</c:v>
                </c:pt>
                <c:pt idx="6">
                  <c:v>28.00%</c:v>
                </c:pt>
              </c:strCache>
            </c:strRef>
          </c:cat>
          <c:val>
            <c:numRef>
              <c:f>Tax_rate!$E$4:$E$11</c:f>
              <c:numCache>
                <c:formatCode>#,##0.00</c:formatCode>
                <c:ptCount val="7"/>
                <c:pt idx="0">
                  <c:v>84740</c:v>
                </c:pt>
                <c:pt idx="1">
                  <c:v>93753.659999999989</c:v>
                </c:pt>
                <c:pt idx="2">
                  <c:v>126329.5</c:v>
                </c:pt>
                <c:pt idx="3">
                  <c:v>149856</c:v>
                </c:pt>
                <c:pt idx="4">
                  <c:v>141108.79999999999</c:v>
                </c:pt>
                <c:pt idx="5">
                  <c:v>98630.3</c:v>
                </c:pt>
                <c:pt idx="6">
                  <c:v>175545.59999999998</c:v>
                </c:pt>
              </c:numCache>
            </c:numRef>
          </c:val>
          <c:extLst>
            <c:ext xmlns:c16="http://schemas.microsoft.com/office/drawing/2014/chart" uri="{C3380CC4-5D6E-409C-BE32-E72D297353CC}">
              <c16:uniqueId val="{00000003-DBC0-46A1-A84D-25A19047BFE8}"/>
            </c:ext>
          </c:extLst>
        </c:ser>
        <c:dLbls>
          <c:showLegendKey val="0"/>
          <c:showVal val="0"/>
          <c:showCatName val="0"/>
          <c:showSerName val="0"/>
          <c:showPercent val="0"/>
          <c:showBubbleSize val="0"/>
        </c:dLbls>
        <c:gapWidth val="150"/>
        <c:shape val="box"/>
        <c:axId val="1434349871"/>
        <c:axId val="1434366671"/>
        <c:axId val="0"/>
      </c:bar3DChart>
      <c:catAx>
        <c:axId val="143434987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4366671"/>
        <c:crosses val="autoZero"/>
        <c:auto val="1"/>
        <c:lblAlgn val="ctr"/>
        <c:lblOffset val="100"/>
        <c:noMultiLvlLbl val="0"/>
      </c:catAx>
      <c:valAx>
        <c:axId val="1434366671"/>
        <c:scaling>
          <c:orientation val="minMax"/>
        </c:scaling>
        <c:delete val="1"/>
        <c:axPos val="l"/>
        <c:numFmt formatCode="#,##0.00" sourceLinked="1"/>
        <c:majorTickMark val="none"/>
        <c:minorTickMark val="none"/>
        <c:tickLblPos val="nextTo"/>
        <c:crossAx val="1434349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 Practice.xlsx]Product_wise!PivotTable4</c:name>
    <c:fmtId val="3"/>
  </c:pivotSource>
  <c:chart>
    <c:title>
      <c:tx>
        <c:rich>
          <a:bodyPr rot="0" spcFirstLastPara="1" vertOverflow="ellipsis" vert="horz" wrap="square" anchor="ctr" anchorCtr="1"/>
          <a:lstStyle/>
          <a:p>
            <a:pPr algn="ctr" rtl="0">
              <a:defRPr lang="en-US" sz="1400" b="1" i="0" u="sng" strike="noStrike" kern="1200" spc="0" baseline="0">
                <a:solidFill>
                  <a:sysClr val="windowText" lastClr="000000">
                    <a:lumMod val="65000"/>
                    <a:lumOff val="35000"/>
                  </a:sysClr>
                </a:solidFill>
                <a:latin typeface="+mn-lt"/>
                <a:ea typeface="+mn-ea"/>
                <a:cs typeface="+mn-cs"/>
              </a:defRPr>
            </a:pPr>
            <a:r>
              <a:rPr lang="en-US" sz="1400" b="1" i="0" u="sng" strike="noStrike" kern="1200" spc="0" baseline="0">
                <a:solidFill>
                  <a:sysClr val="windowText" lastClr="000000">
                    <a:lumMod val="65000"/>
                    <a:lumOff val="35000"/>
                  </a:sysClr>
                </a:solidFill>
                <a:latin typeface="+mn-lt"/>
                <a:ea typeface="+mn-ea"/>
                <a:cs typeface="+mn-cs"/>
              </a:rPr>
              <a:t>Product wise</a:t>
            </a:r>
          </a:p>
        </c:rich>
      </c:tx>
      <c:overlay val="0"/>
      <c:spPr>
        <a:noFill/>
        <a:ln>
          <a:noFill/>
        </a:ln>
        <a:effectLst/>
      </c:spPr>
      <c:txPr>
        <a:bodyPr rot="0" spcFirstLastPara="1" vertOverflow="ellipsis" vert="horz" wrap="square" anchor="ctr" anchorCtr="1"/>
        <a:lstStyle/>
        <a:p>
          <a:pPr algn="ctr" rtl="0">
            <a:defRPr lang="en-US" sz="1400" b="1" i="0" u="sng"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Product_wise!$B$3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25E-4D0A-AAB7-05DC7B273EB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25E-4D0A-AAB7-05DC7B273EB2}"/>
              </c:ext>
            </c:extLst>
          </c:dPt>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Product_wise!$A$4:$A$6</c:f>
              <c:strCache>
                <c:ptCount val="2"/>
                <c:pt idx="0">
                  <c:v>Plywood 4mm</c:v>
                </c:pt>
                <c:pt idx="1">
                  <c:v>Plywood 6mm</c:v>
                </c:pt>
              </c:strCache>
            </c:strRef>
          </c:cat>
          <c:val>
            <c:numRef>
              <c:f>Product_wise!$B$4:$B$6</c:f>
              <c:numCache>
                <c:formatCode>#,##0.00</c:formatCode>
                <c:ptCount val="2"/>
                <c:pt idx="0">
                  <c:v>427057.24</c:v>
                </c:pt>
                <c:pt idx="1">
                  <c:v>442906.61999999994</c:v>
                </c:pt>
              </c:numCache>
            </c:numRef>
          </c:val>
          <c:extLst>
            <c:ext xmlns:c16="http://schemas.microsoft.com/office/drawing/2014/chart" uri="{C3380CC4-5D6E-409C-BE32-E72D297353CC}">
              <c16:uniqueId val="{00000004-725E-4D0A-AAB7-05DC7B273EB2}"/>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 Practice.xlsx]State wise!PivotTable5</c:name>
    <c:fmtId val="3"/>
  </c:pivotSource>
  <c:chart>
    <c:title>
      <c:tx>
        <c:rich>
          <a:bodyPr rot="0" spcFirstLastPara="1" vertOverflow="ellipsis" vert="horz" wrap="square" anchor="ctr" anchorCtr="1"/>
          <a:lstStyle/>
          <a:p>
            <a:pPr algn="ctr" rtl="0">
              <a:defRPr lang="en-US" sz="1400" b="1" i="0" u="sng" strike="noStrike" kern="1200" spc="0" baseline="0">
                <a:solidFill>
                  <a:sysClr val="windowText" lastClr="000000">
                    <a:lumMod val="65000"/>
                    <a:lumOff val="35000"/>
                  </a:sysClr>
                </a:solidFill>
                <a:latin typeface="+mn-lt"/>
                <a:ea typeface="+mn-ea"/>
                <a:cs typeface="+mn-cs"/>
              </a:defRPr>
            </a:pPr>
            <a:r>
              <a:rPr lang="en-US" sz="1400" b="1" i="0" u="sng" strike="noStrike" kern="1200" spc="0" baseline="0">
                <a:solidFill>
                  <a:sysClr val="windowText" lastClr="000000">
                    <a:lumMod val="65000"/>
                    <a:lumOff val="35000"/>
                  </a:sysClr>
                </a:solidFill>
                <a:latin typeface="+mn-lt"/>
                <a:ea typeface="+mn-ea"/>
                <a:cs typeface="+mn-cs"/>
              </a:rPr>
              <a:t>State wise</a:t>
            </a:r>
          </a:p>
        </c:rich>
      </c:tx>
      <c:overlay val="0"/>
      <c:spPr>
        <a:noFill/>
        <a:ln>
          <a:noFill/>
        </a:ln>
        <a:effectLst/>
      </c:spPr>
      <c:txPr>
        <a:bodyPr rot="0" spcFirstLastPara="1" vertOverflow="ellipsis" vert="horz" wrap="square" anchor="ctr" anchorCtr="1"/>
        <a:lstStyle/>
        <a:p>
          <a:pPr algn="ctr" rtl="0">
            <a:defRPr lang="en-US" sz="1400" b="1" i="0" u="sng"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dLbl>
          <c:idx val="0"/>
          <c:layout>
            <c:manualLayout>
              <c:x val="2.7777777777777676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dLbl>
          <c:idx val="0"/>
          <c:layout>
            <c:manualLayout>
              <c:x val="2.2222222222222171E-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dLbl>
          <c:idx val="0"/>
          <c:layout>
            <c:manualLayout>
              <c:x val="2.2222222222222171E-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dLbl>
          <c:idx val="0"/>
          <c:layout>
            <c:manualLayout>
              <c:x val="2.7777777777777676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dLbl>
          <c:idx val="0"/>
          <c:layout>
            <c:manualLayout>
              <c:x val="2.2222222222222171E-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dLbl>
          <c:idx val="0"/>
          <c:layout>
            <c:manualLayout>
              <c:x val="3.9564787339268048E-2"/>
              <c:y val="-1.42602495543672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8396240680053666"/>
          <c:y val="0.16559797456786632"/>
          <c:w val="0.64911017701734652"/>
          <c:h val="0.83440200990918911"/>
        </c:manualLayout>
      </c:layout>
      <c:bar3DChart>
        <c:barDir val="bar"/>
        <c:grouping val="clustered"/>
        <c:varyColors val="0"/>
        <c:ser>
          <c:idx val="0"/>
          <c:order val="0"/>
          <c:tx>
            <c:strRef>
              <c:f>'State wise'!$B$3</c:f>
              <c:strCache>
                <c:ptCount val="1"/>
                <c:pt idx="0">
                  <c:v>Total</c:v>
                </c:pt>
              </c:strCache>
            </c:strRef>
          </c:tx>
          <c:spPr>
            <a:solidFill>
              <a:schemeClr val="accent1"/>
            </a:solidFill>
            <a:ln>
              <a:noFill/>
            </a:ln>
            <a:effectLst/>
            <a:sp3d/>
          </c:spPr>
          <c:invertIfNegative val="0"/>
          <c:dPt>
            <c:idx val="0"/>
            <c:invertIfNegative val="0"/>
            <c:bubble3D val="0"/>
            <c:spPr>
              <a:solidFill>
                <a:schemeClr val="accent1"/>
              </a:solidFill>
              <a:ln>
                <a:noFill/>
              </a:ln>
              <a:effectLst/>
              <a:sp3d/>
            </c:spPr>
            <c:extLst>
              <c:ext xmlns:c16="http://schemas.microsoft.com/office/drawing/2014/chart" uri="{C3380CC4-5D6E-409C-BE32-E72D297353CC}">
                <c16:uniqueId val="{00000000-C558-4366-A5E6-B93503579E06}"/>
              </c:ext>
            </c:extLst>
          </c:dPt>
          <c:dPt>
            <c:idx val="1"/>
            <c:invertIfNegative val="0"/>
            <c:bubble3D val="0"/>
            <c:spPr>
              <a:solidFill>
                <a:schemeClr val="accent1"/>
              </a:solidFill>
              <a:ln>
                <a:noFill/>
              </a:ln>
              <a:effectLst/>
              <a:sp3d/>
            </c:spPr>
            <c:extLst>
              <c:ext xmlns:c16="http://schemas.microsoft.com/office/drawing/2014/chart" uri="{C3380CC4-5D6E-409C-BE32-E72D297353CC}">
                <c16:uniqueId val="{00000001-C558-4366-A5E6-B93503579E06}"/>
              </c:ext>
            </c:extLst>
          </c:dPt>
          <c:dLbls>
            <c:dLbl>
              <c:idx val="0"/>
              <c:layout>
                <c:manualLayout>
                  <c:x val="2.2222222222222171E-2"/>
                  <c:y val="-8.4875562720133283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558-4366-A5E6-B93503579E06}"/>
                </c:ext>
              </c:extLst>
            </c:dLbl>
            <c:dLbl>
              <c:idx val="1"/>
              <c:layout>
                <c:manualLayout>
                  <c:x val="3.9564787339268048E-2"/>
                  <c:y val="-1.42602495543672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558-4366-A5E6-B93503579E0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'State wise'!$A$4:$A$6</c:f>
              <c:strCache>
                <c:ptCount val="2"/>
                <c:pt idx="0">
                  <c:v>INTERSTATE</c:v>
                </c:pt>
                <c:pt idx="1">
                  <c:v>Local</c:v>
                </c:pt>
              </c:strCache>
            </c:strRef>
          </c:cat>
          <c:val>
            <c:numRef>
              <c:f>'State wise'!$B$4:$B$6</c:f>
              <c:numCache>
                <c:formatCode>#,##0.00</c:formatCode>
                <c:ptCount val="2"/>
                <c:pt idx="0">
                  <c:v>139553.4</c:v>
                </c:pt>
                <c:pt idx="1">
                  <c:v>730410.46</c:v>
                </c:pt>
              </c:numCache>
            </c:numRef>
          </c:val>
          <c:extLst>
            <c:ext xmlns:c16="http://schemas.microsoft.com/office/drawing/2014/chart" uri="{C3380CC4-5D6E-409C-BE32-E72D297353CC}">
              <c16:uniqueId val="{00000002-C558-4366-A5E6-B93503579E06}"/>
            </c:ext>
          </c:extLst>
        </c:ser>
        <c:dLbls>
          <c:showLegendKey val="0"/>
          <c:showVal val="1"/>
          <c:showCatName val="0"/>
          <c:showSerName val="0"/>
          <c:showPercent val="0"/>
          <c:showBubbleSize val="0"/>
        </c:dLbls>
        <c:gapWidth val="150"/>
        <c:shape val="box"/>
        <c:axId val="1434379631"/>
        <c:axId val="1434380111"/>
        <c:axId val="0"/>
      </c:bar3DChart>
      <c:catAx>
        <c:axId val="14343796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434380111"/>
        <c:crosses val="autoZero"/>
        <c:auto val="1"/>
        <c:lblAlgn val="ctr"/>
        <c:lblOffset val="100"/>
        <c:noMultiLvlLbl val="0"/>
      </c:catAx>
      <c:valAx>
        <c:axId val="1434380111"/>
        <c:scaling>
          <c:orientation val="minMax"/>
        </c:scaling>
        <c:delete val="1"/>
        <c:axPos val="b"/>
        <c:numFmt formatCode="#,##0.00" sourceLinked="1"/>
        <c:majorTickMark val="none"/>
        <c:minorTickMark val="none"/>
        <c:tickLblPos val="nextTo"/>
        <c:crossAx val="1434379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2</xdr:col>
      <xdr:colOff>542925</xdr:colOff>
      <xdr:row>1</xdr:row>
      <xdr:rowOff>28575</xdr:rowOff>
    </xdr:from>
    <xdr:to>
      <xdr:col>8</xdr:col>
      <xdr:colOff>371475</xdr:colOff>
      <xdr:row>10</xdr:row>
      <xdr:rowOff>180974</xdr:rowOff>
    </xdr:to>
    <xdr:graphicFrame macro="">
      <xdr:nvGraphicFramePr>
        <xdr:cNvPr id="2" name="Chart 1">
          <a:extLst>
            <a:ext uri="{FF2B5EF4-FFF2-40B4-BE49-F238E27FC236}">
              <a16:creationId xmlns:a16="http://schemas.microsoft.com/office/drawing/2014/main" id="{7D62DC89-BB81-1E56-5E38-B01EF439FD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391582</xdr:colOff>
      <xdr:row>8</xdr:row>
      <xdr:rowOff>10583</xdr:rowOff>
    </xdr:from>
    <xdr:to>
      <xdr:col>8</xdr:col>
      <xdr:colOff>57149</xdr:colOff>
      <xdr:row>18</xdr:row>
      <xdr:rowOff>31749</xdr:rowOff>
    </xdr:to>
    <xdr:graphicFrame macro="">
      <xdr:nvGraphicFramePr>
        <xdr:cNvPr id="2" name="Chart 1">
          <a:extLst>
            <a:ext uri="{FF2B5EF4-FFF2-40B4-BE49-F238E27FC236}">
              <a16:creationId xmlns:a16="http://schemas.microsoft.com/office/drawing/2014/main" id="{40AEDB65-EF2C-45EE-B46E-7D8A08E3A6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66675</xdr:colOff>
      <xdr:row>8</xdr:row>
      <xdr:rowOff>10582</xdr:rowOff>
    </xdr:from>
    <xdr:to>
      <xdr:col>12</xdr:col>
      <xdr:colOff>504825</xdr:colOff>
      <xdr:row>18</xdr:row>
      <xdr:rowOff>10583</xdr:rowOff>
    </xdr:to>
    <xdr:graphicFrame macro="">
      <xdr:nvGraphicFramePr>
        <xdr:cNvPr id="3" name="Chart 2">
          <a:extLst>
            <a:ext uri="{FF2B5EF4-FFF2-40B4-BE49-F238E27FC236}">
              <a16:creationId xmlns:a16="http://schemas.microsoft.com/office/drawing/2014/main" id="{428802F4-008B-4BD2-9DFF-95B1778A4F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381000</xdr:colOff>
      <xdr:row>18</xdr:row>
      <xdr:rowOff>84667</xdr:rowOff>
    </xdr:from>
    <xdr:to>
      <xdr:col>8</xdr:col>
      <xdr:colOff>47625</xdr:colOff>
      <xdr:row>32</xdr:row>
      <xdr:rowOff>169332</xdr:rowOff>
    </xdr:to>
    <xdr:graphicFrame macro="">
      <xdr:nvGraphicFramePr>
        <xdr:cNvPr id="4" name="Chart 3">
          <a:extLst>
            <a:ext uri="{FF2B5EF4-FFF2-40B4-BE49-F238E27FC236}">
              <a16:creationId xmlns:a16="http://schemas.microsoft.com/office/drawing/2014/main" id="{F8CD6720-A6D5-4C02-8CFF-DB77304CA9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514350</xdr:colOff>
      <xdr:row>8</xdr:row>
      <xdr:rowOff>21166</xdr:rowOff>
    </xdr:from>
    <xdr:to>
      <xdr:col>17</xdr:col>
      <xdr:colOff>352425</xdr:colOff>
      <xdr:row>17</xdr:row>
      <xdr:rowOff>190499</xdr:rowOff>
    </xdr:to>
    <xdr:graphicFrame macro="">
      <xdr:nvGraphicFramePr>
        <xdr:cNvPr id="5" name="Chart 4">
          <a:extLst>
            <a:ext uri="{FF2B5EF4-FFF2-40B4-BE49-F238E27FC236}">
              <a16:creationId xmlns:a16="http://schemas.microsoft.com/office/drawing/2014/main" id="{57E4CEB1-3B6F-44F1-984D-2C1545367B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67732</xdr:colOff>
      <xdr:row>18</xdr:row>
      <xdr:rowOff>42334</xdr:rowOff>
    </xdr:from>
    <xdr:to>
      <xdr:col>17</xdr:col>
      <xdr:colOff>363008</xdr:colOff>
      <xdr:row>32</xdr:row>
      <xdr:rowOff>158750</xdr:rowOff>
    </xdr:to>
    <xdr:graphicFrame macro="">
      <xdr:nvGraphicFramePr>
        <xdr:cNvPr id="6" name="Chart 5">
          <a:extLst>
            <a:ext uri="{FF2B5EF4-FFF2-40B4-BE49-F238E27FC236}">
              <a16:creationId xmlns:a16="http://schemas.microsoft.com/office/drawing/2014/main" id="{CEC84763-37BB-4218-8A4C-21F3D05EAD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2</xdr:row>
      <xdr:rowOff>190499</xdr:rowOff>
    </xdr:from>
    <xdr:to>
      <xdr:col>19</xdr:col>
      <xdr:colOff>592667</xdr:colOff>
      <xdr:row>7</xdr:row>
      <xdr:rowOff>95248</xdr:rowOff>
    </xdr:to>
    <xdr:sp macro="" textlink="">
      <xdr:nvSpPr>
        <xdr:cNvPr id="7" name="TextBox 6">
          <a:extLst>
            <a:ext uri="{FF2B5EF4-FFF2-40B4-BE49-F238E27FC236}">
              <a16:creationId xmlns:a16="http://schemas.microsoft.com/office/drawing/2014/main" id="{4B51E87A-1462-ACE7-497A-6634CB3A3ACD}"/>
            </a:ext>
          </a:extLst>
        </xdr:cNvPr>
        <xdr:cNvSpPr txBox="1"/>
      </xdr:nvSpPr>
      <xdr:spPr>
        <a:xfrm>
          <a:off x="0" y="571499"/>
          <a:ext cx="12255500" cy="8572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800">
              <a:latin typeface="Algerian" panose="04020705040A02060702" pitchFamily="82" charset="0"/>
            </a:rPr>
            <a:t>Sales Analysis Dashboard</a:t>
          </a:r>
        </a:p>
      </xdr:txBody>
    </xdr:sp>
    <xdr:clientData/>
  </xdr:twoCellAnchor>
  <xdr:twoCellAnchor editAs="oneCell">
    <xdr:from>
      <xdr:col>0</xdr:col>
      <xdr:colOff>0</xdr:colOff>
      <xdr:row>8</xdr:row>
      <xdr:rowOff>1</xdr:rowOff>
    </xdr:from>
    <xdr:to>
      <xdr:col>2</xdr:col>
      <xdr:colOff>333375</xdr:colOff>
      <xdr:row>12</xdr:row>
      <xdr:rowOff>133350</xdr:rowOff>
    </xdr:to>
    <mc:AlternateContent xmlns:mc="http://schemas.openxmlformats.org/markup-compatibility/2006" xmlns:a14="http://schemas.microsoft.com/office/drawing/2010/main">
      <mc:Choice Requires="a14">
        <xdr:graphicFrame macro="">
          <xdr:nvGraphicFramePr>
            <xdr:cNvPr id="8" name="Firm Name ">
              <a:extLst>
                <a:ext uri="{FF2B5EF4-FFF2-40B4-BE49-F238E27FC236}">
                  <a16:creationId xmlns:a16="http://schemas.microsoft.com/office/drawing/2014/main" id="{36086191-AB39-4423-89B9-C01881BB4416}"/>
                </a:ext>
              </a:extLst>
            </xdr:cNvPr>
            <xdr:cNvGraphicFramePr/>
          </xdr:nvGraphicFramePr>
          <xdr:xfrm>
            <a:off x="0" y="0"/>
            <a:ext cx="0" cy="0"/>
          </xdr:xfrm>
          <a:graphic>
            <a:graphicData uri="http://schemas.microsoft.com/office/drawing/2010/slicer">
              <sle:slicer xmlns:sle="http://schemas.microsoft.com/office/drawing/2010/slicer" name="Firm Name "/>
            </a:graphicData>
          </a:graphic>
        </xdr:graphicFrame>
      </mc:Choice>
      <mc:Fallback xmlns="">
        <xdr:sp macro="" textlink="">
          <xdr:nvSpPr>
            <xdr:cNvPr id="0" name=""/>
            <xdr:cNvSpPr>
              <a:spLocks noTextEdit="1"/>
            </xdr:cNvSpPr>
          </xdr:nvSpPr>
          <xdr:spPr>
            <a:xfrm>
              <a:off x="0" y="952501"/>
              <a:ext cx="1561042" cy="8953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409575</xdr:colOff>
      <xdr:row>8</xdr:row>
      <xdr:rowOff>9526</xdr:rowOff>
    </xdr:from>
    <xdr:to>
      <xdr:col>19</xdr:col>
      <xdr:colOff>592667</xdr:colOff>
      <xdr:row>12</xdr:row>
      <xdr:rowOff>142875</xdr:rowOff>
    </xdr:to>
    <mc:AlternateContent xmlns:mc="http://schemas.openxmlformats.org/markup-compatibility/2006" xmlns:a14="http://schemas.microsoft.com/office/drawing/2010/main">
      <mc:Choice Requires="a14">
        <xdr:graphicFrame macro="">
          <xdr:nvGraphicFramePr>
            <xdr:cNvPr id="9" name="State">
              <a:extLst>
                <a:ext uri="{FF2B5EF4-FFF2-40B4-BE49-F238E27FC236}">
                  <a16:creationId xmlns:a16="http://schemas.microsoft.com/office/drawing/2014/main" id="{355FFA5D-52B1-4497-A3B5-8E1555FB83A7}"/>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0844742" y="962026"/>
              <a:ext cx="1574800" cy="8953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402167</xdr:colOff>
      <xdr:row>17</xdr:row>
      <xdr:rowOff>110066</xdr:rowOff>
    </xdr:from>
    <xdr:to>
      <xdr:col>19</xdr:col>
      <xdr:colOff>560917</xdr:colOff>
      <xdr:row>32</xdr:row>
      <xdr:rowOff>158749</xdr:rowOff>
    </xdr:to>
    <mc:AlternateContent xmlns:mc="http://schemas.openxmlformats.org/markup-compatibility/2006" xmlns:a14="http://schemas.microsoft.com/office/drawing/2010/main">
      <mc:Choice Requires="a14">
        <xdr:graphicFrame macro="">
          <xdr:nvGraphicFramePr>
            <xdr:cNvPr id="11" name="Tax Rate">
              <a:extLst>
                <a:ext uri="{FF2B5EF4-FFF2-40B4-BE49-F238E27FC236}">
                  <a16:creationId xmlns:a16="http://schemas.microsoft.com/office/drawing/2014/main" id="{F205B694-9677-407F-ADA5-B4185723CD6C}"/>
                </a:ext>
              </a:extLst>
            </xdr:cNvPr>
            <xdr:cNvGraphicFramePr/>
          </xdr:nvGraphicFramePr>
          <xdr:xfrm>
            <a:off x="0" y="0"/>
            <a:ext cx="0" cy="0"/>
          </xdr:xfrm>
          <a:graphic>
            <a:graphicData uri="http://schemas.microsoft.com/office/drawing/2010/slicer">
              <sle:slicer xmlns:sle="http://schemas.microsoft.com/office/drawing/2010/slicer" name="Tax Rate"/>
            </a:graphicData>
          </a:graphic>
        </xdr:graphicFrame>
      </mc:Choice>
      <mc:Fallback xmlns="">
        <xdr:sp macro="" textlink="">
          <xdr:nvSpPr>
            <xdr:cNvPr id="0" name=""/>
            <xdr:cNvSpPr>
              <a:spLocks noTextEdit="1"/>
            </xdr:cNvSpPr>
          </xdr:nvSpPr>
          <xdr:spPr>
            <a:xfrm>
              <a:off x="10837334" y="2777067"/>
              <a:ext cx="1604434" cy="14774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421216</xdr:colOff>
      <xdr:row>12</xdr:row>
      <xdr:rowOff>171451</xdr:rowOff>
    </xdr:from>
    <xdr:to>
      <xdr:col>19</xdr:col>
      <xdr:colOff>571500</xdr:colOff>
      <xdr:row>17</xdr:row>
      <xdr:rowOff>76201</xdr:rowOff>
    </xdr:to>
    <mc:AlternateContent xmlns:mc="http://schemas.openxmlformats.org/markup-compatibility/2006" xmlns:a14="http://schemas.microsoft.com/office/drawing/2010/main">
      <mc:Choice Requires="a14">
        <xdr:graphicFrame macro="">
          <xdr:nvGraphicFramePr>
            <xdr:cNvPr id="12" name="PT_Product">
              <a:extLst>
                <a:ext uri="{FF2B5EF4-FFF2-40B4-BE49-F238E27FC236}">
                  <a16:creationId xmlns:a16="http://schemas.microsoft.com/office/drawing/2014/main" id="{BB3D034F-BC71-4668-B839-A6292B19472B}"/>
                </a:ext>
              </a:extLst>
            </xdr:cNvPr>
            <xdr:cNvGraphicFramePr/>
          </xdr:nvGraphicFramePr>
          <xdr:xfrm>
            <a:off x="0" y="0"/>
            <a:ext cx="0" cy="0"/>
          </xdr:xfrm>
          <a:graphic>
            <a:graphicData uri="http://schemas.microsoft.com/office/drawing/2010/slicer">
              <sle:slicer xmlns:sle="http://schemas.microsoft.com/office/drawing/2010/slicer" name="PT_Product"/>
            </a:graphicData>
          </a:graphic>
        </xdr:graphicFrame>
      </mc:Choice>
      <mc:Fallback xmlns="">
        <xdr:sp macro="" textlink="">
          <xdr:nvSpPr>
            <xdr:cNvPr id="0" name=""/>
            <xdr:cNvSpPr>
              <a:spLocks noTextEdit="1"/>
            </xdr:cNvSpPr>
          </xdr:nvSpPr>
          <xdr:spPr>
            <a:xfrm>
              <a:off x="10856383" y="1885951"/>
              <a:ext cx="1555750" cy="857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158750</xdr:rowOff>
    </xdr:from>
    <xdr:to>
      <xdr:col>2</xdr:col>
      <xdr:colOff>328083</xdr:colOff>
      <xdr:row>32</xdr:row>
      <xdr:rowOff>158750</xdr:rowOff>
    </xdr:to>
    <mc:AlternateContent xmlns:mc="http://schemas.openxmlformats.org/markup-compatibility/2006">
      <mc:Choice xmlns:a14="http://schemas.microsoft.com/office/drawing/2010/main" Requires="a14">
        <xdr:graphicFrame macro="">
          <xdr:nvGraphicFramePr>
            <xdr:cNvPr id="13" name="PT_Month">
              <a:extLst>
                <a:ext uri="{FF2B5EF4-FFF2-40B4-BE49-F238E27FC236}">
                  <a16:creationId xmlns:a16="http://schemas.microsoft.com/office/drawing/2014/main" id="{B76EAA7A-4B0A-4AB3-B435-817A1680BACD}"/>
                </a:ext>
              </a:extLst>
            </xdr:cNvPr>
            <xdr:cNvGraphicFramePr/>
          </xdr:nvGraphicFramePr>
          <xdr:xfrm>
            <a:off x="0" y="0"/>
            <a:ext cx="0" cy="0"/>
          </xdr:xfrm>
          <a:graphic>
            <a:graphicData uri="http://schemas.microsoft.com/office/drawing/2010/slicer">
              <sle:slicer xmlns:sle="http://schemas.microsoft.com/office/drawing/2010/slicer" name="PT_Month"/>
            </a:graphicData>
          </a:graphic>
        </xdr:graphicFrame>
      </mc:Choice>
      <mc:Fallback>
        <xdr:sp macro="" textlink="">
          <xdr:nvSpPr>
            <xdr:cNvPr id="0" name=""/>
            <xdr:cNvSpPr>
              <a:spLocks noTextEdit="1"/>
            </xdr:cNvSpPr>
          </xdr:nvSpPr>
          <xdr:spPr>
            <a:xfrm>
              <a:off x="0" y="2444750"/>
              <a:ext cx="1555750" cy="381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dashboard.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ood" refreshedDate="43944.159847569441" createdVersion="5" refreshedVersion="5" minRefreshableVersion="3" recordCount="36" xr:uid="{00000000-000A-0000-FFFF-FFFF00000000}">
  <cacheSource type="worksheet">
    <worksheetSource ref="A1:P37" sheet="DATA" r:id="rId2"/>
  </cacheSource>
  <cacheFields count="16">
    <cacheField name="Firm Name " numFmtId="0">
      <sharedItems count="2">
        <s v="JK Enterprise"/>
        <s v="SR Hardware"/>
      </sharedItems>
    </cacheField>
    <cacheField name="State" numFmtId="0">
      <sharedItems count="2">
        <s v="Local"/>
        <s v="INTERSTATE"/>
      </sharedItems>
    </cacheField>
    <cacheField name="Invoice No." numFmtId="0">
      <sharedItems containsSemiMixedTypes="0" containsString="0" containsNumber="1" containsInteger="1" minValue="23" maxValue="58"/>
    </cacheField>
    <cacheField name="Date" numFmtId="14">
      <sharedItems containsSemiMixedTypes="0" containsNonDate="0" containsDate="1" containsString="0" minDate="2020-04-01T00:00:00" maxDate="2021-07-04T00:00:00" count="36">
        <d v="2020-04-01T00:00:00"/>
        <d v="2020-06-04T00:00:00"/>
        <d v="2020-07-04T00:00:00"/>
        <d v="2020-05-05T00:00:00"/>
        <d v="2020-06-05T00:00:00"/>
        <d v="2020-07-05T00:00:00"/>
        <d v="2020-05-06T00:00:00"/>
        <d v="2020-06-06T00:00:00"/>
        <d v="2020-07-06T00:00:00"/>
        <d v="2020-05-07T00:00:00"/>
        <d v="2020-06-07T00:00:00"/>
        <d v="2020-07-07T00:00:00"/>
        <d v="2020-05-08T00:00:00"/>
        <d v="2020-06-08T00:00:00"/>
        <d v="2020-07-08T00:00:00"/>
        <d v="2020-05-09T00:00:00"/>
        <d v="2020-06-09T00:00:00"/>
        <d v="2020-07-09T00:00:00"/>
        <d v="2020-05-10T00:00:00"/>
        <d v="2020-06-10T00:00:00"/>
        <d v="2020-07-10T00:00:00"/>
        <d v="2020-05-11T00:00:00"/>
        <d v="2020-06-11T00:00:00"/>
        <d v="2020-07-11T00:00:00"/>
        <d v="2020-05-12T00:00:00"/>
        <d v="2020-06-12T00:00:00"/>
        <d v="2020-07-12T00:00:00"/>
        <d v="2021-05-01T00:00:00"/>
        <d v="2021-06-01T00:00:00"/>
        <d v="2021-07-01T00:00:00"/>
        <d v="2021-05-02T00:00:00"/>
        <d v="2021-06-02T00:00:00"/>
        <d v="2021-07-02T00:00:00"/>
        <d v="2021-05-03T00:00:00"/>
        <d v="2021-06-03T00:00:00"/>
        <d v="2021-07-03T00:00:00"/>
      </sharedItems>
      <fieldGroup base="3">
        <rangePr groupBy="months" startDate="2020-04-01T00:00:00" endDate="2021-07-04T00:00:00"/>
        <groupItems count="14">
          <s v="&lt;01-04-2020"/>
          <s v="Jan"/>
          <s v="Feb"/>
          <s v="Mar"/>
          <s v="Apr"/>
          <s v="May"/>
          <s v="Jun"/>
          <s v="Jul"/>
          <s v="Aug"/>
          <s v="Sep"/>
          <s v="Oct"/>
          <s v="Nov"/>
          <s v="Dec"/>
          <s v="&gt;04-07-2021"/>
        </groupItems>
      </fieldGroup>
    </cacheField>
    <cacheField name="Tax Rate" numFmtId="10">
      <sharedItems containsSemiMixedTypes="0" containsString="0" containsNumber="1" minValue="0" maxValue="0.28000000000000003" count="7">
        <n v="0.18"/>
        <n v="0.12"/>
        <n v="0.03"/>
        <n v="0"/>
        <n v="0.28000000000000003"/>
        <n v="0.05"/>
        <n v="1E-3"/>
      </sharedItems>
    </cacheField>
    <cacheField name="Description of Goods" numFmtId="0">
      <sharedItems count="2">
        <s v="Plywood 6mm"/>
        <s v="Plywood 4mm"/>
      </sharedItems>
    </cacheField>
    <cacheField name="Qty" numFmtId="0">
      <sharedItems containsSemiMixedTypes="0" containsString="0" containsNumber="1" containsInteger="1" minValue="2" maxValue="62"/>
    </cacheField>
    <cacheField name="Unit" numFmtId="10">
      <sharedItems/>
    </cacheField>
    <cacheField name="Rate" numFmtId="4">
      <sharedItems containsSemiMixedTypes="0" containsString="0" containsNumber="1" containsInteger="1" minValue="1115" maxValue="2225"/>
    </cacheField>
    <cacheField name="Taxable Value" numFmtId="4">
      <sharedItems containsSemiMixedTypes="0" containsString="0" containsNumber="1" containsInteger="1" minValue="2230" maxValue="69130"/>
    </cacheField>
    <cacheField name="IGST" numFmtId="4">
      <sharedItems containsSemiMixedTypes="0" containsString="0" containsNumber="1" minValue="0" maxValue="8429.4"/>
    </cacheField>
    <cacheField name="CGST" numFmtId="4">
      <sharedItems containsSemiMixedTypes="0" containsString="0" containsNumber="1" minValue="0" maxValue="7805.0000000000009"/>
    </cacheField>
    <cacheField name="SGST" numFmtId="4">
      <sharedItems containsSemiMixedTypes="0" containsString="0" containsNumber="1" minValue="0" maxValue="7805.0000000000009"/>
    </cacheField>
    <cacheField name="CESS" numFmtId="4">
      <sharedItems containsNonDate="0" containsString="0" containsBlank="1"/>
    </cacheField>
    <cacheField name="TOTAL" numFmtId="4">
      <sharedItems containsSemiMixedTypes="0" containsString="0" containsNumber="1" minValue="2341.5" maxValue="72586.5"/>
    </cacheField>
    <cacheField name="INVOICE VALUE" numFmtId="4">
      <sharedItems containsSemiMixedTypes="0" containsString="0" containsNumber="1" minValue="2341.5" maxValue="72586.5"/>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42.661421759258" createdVersion="8" refreshedVersion="8" minRefreshableVersion="3" recordCount="36" xr:uid="{13A3ED4C-C0FE-4C45-BAE9-EF04D5E8366F}">
  <cacheSource type="worksheet">
    <worksheetSource ref="A1:P37" sheet="DATA"/>
  </cacheSource>
  <cacheFields count="17">
    <cacheField name="Firm Name " numFmtId="0">
      <sharedItems count="2">
        <s v="JK Enterprise"/>
        <s v="SR Hardware"/>
      </sharedItems>
    </cacheField>
    <cacheField name="State" numFmtId="0">
      <sharedItems count="2">
        <s v="Local"/>
        <s v="INTERSTATE"/>
      </sharedItems>
    </cacheField>
    <cacheField name="Invoice No." numFmtId="0">
      <sharedItems containsSemiMixedTypes="0" containsString="0" containsNumber="1" containsInteger="1" minValue="23" maxValue="58"/>
    </cacheField>
    <cacheField name="Date" numFmtId="14">
      <sharedItems containsSemiMixedTypes="0" containsNonDate="0" containsDate="1" containsString="0" minDate="2020-04-01T00:00:00" maxDate="2021-07-04T00:00:00" count="36">
        <d v="2020-04-01T00:00:00"/>
        <d v="2020-06-04T00:00:00"/>
        <d v="2020-07-04T00:00:00"/>
        <d v="2020-05-05T00:00:00"/>
        <d v="2020-06-05T00:00:00"/>
        <d v="2020-07-05T00:00:00"/>
        <d v="2020-05-06T00:00:00"/>
        <d v="2020-06-06T00:00:00"/>
        <d v="2020-07-06T00:00:00"/>
        <d v="2020-05-07T00:00:00"/>
        <d v="2020-06-07T00:00:00"/>
        <d v="2020-07-07T00:00:00"/>
        <d v="2020-05-08T00:00:00"/>
        <d v="2020-06-08T00:00:00"/>
        <d v="2020-07-08T00:00:00"/>
        <d v="2020-05-09T00:00:00"/>
        <d v="2020-06-09T00:00:00"/>
        <d v="2020-07-09T00:00:00"/>
        <d v="2020-05-10T00:00:00"/>
        <d v="2020-06-10T00:00:00"/>
        <d v="2020-07-10T00:00:00"/>
        <d v="2020-05-11T00:00:00"/>
        <d v="2020-06-11T00:00:00"/>
        <d v="2020-07-11T00:00:00"/>
        <d v="2020-05-12T00:00:00"/>
        <d v="2020-06-12T00:00:00"/>
        <d v="2020-07-12T00:00:00"/>
        <d v="2021-05-01T00:00:00"/>
        <d v="2021-06-01T00:00:00"/>
        <d v="2021-07-01T00:00:00"/>
        <d v="2021-05-02T00:00:00"/>
        <d v="2021-06-02T00:00:00"/>
        <d v="2021-07-02T00:00:00"/>
        <d v="2021-05-03T00:00:00"/>
        <d v="2021-06-03T00:00:00"/>
        <d v="2021-07-03T00:00:00"/>
      </sharedItems>
      <fieldGroup par="16"/>
    </cacheField>
    <cacheField name="Tax Rate" numFmtId="10">
      <sharedItems containsSemiMixedTypes="0" containsString="0" containsNumber="1" minValue="0" maxValue="0.28000000000000003" count="7">
        <n v="0.18"/>
        <n v="0.12"/>
        <n v="0.03"/>
        <n v="0"/>
        <n v="0.28000000000000003"/>
        <n v="0.05"/>
        <n v="1E-3"/>
      </sharedItems>
    </cacheField>
    <cacheField name="Description of Goods" numFmtId="0">
      <sharedItems count="2">
        <s v="Plywood 6mm"/>
        <s v="Plywood 4mm"/>
      </sharedItems>
    </cacheField>
    <cacheField name="Qty" numFmtId="0">
      <sharedItems containsSemiMixedTypes="0" containsString="0" containsNumber="1" containsInteger="1" minValue="2" maxValue="62"/>
    </cacheField>
    <cacheField name="Unit" numFmtId="10">
      <sharedItems/>
    </cacheField>
    <cacheField name="Rate" numFmtId="4">
      <sharedItems containsSemiMixedTypes="0" containsString="0" containsNumber="1" containsInteger="1" minValue="1115" maxValue="2225"/>
    </cacheField>
    <cacheField name="Taxable Value" numFmtId="4">
      <sharedItems containsSemiMixedTypes="0" containsString="0" containsNumber="1" containsInteger="1" minValue="2230" maxValue="69130"/>
    </cacheField>
    <cacheField name="IGST" numFmtId="4">
      <sharedItems containsSemiMixedTypes="0" containsString="0" containsNumber="1" minValue="0" maxValue="8429.4"/>
    </cacheField>
    <cacheField name="CGST" numFmtId="4">
      <sharedItems containsSemiMixedTypes="0" containsString="0" containsNumber="1" minValue="0" maxValue="7805.0000000000009"/>
    </cacheField>
    <cacheField name="SGST" numFmtId="4">
      <sharedItems containsSemiMixedTypes="0" containsString="0" containsNumber="1" minValue="0" maxValue="7805.0000000000009"/>
    </cacheField>
    <cacheField name="CESS" numFmtId="4">
      <sharedItems containsNonDate="0" containsString="0" containsBlank="1"/>
    </cacheField>
    <cacheField name="TOTAL" numFmtId="4">
      <sharedItems containsSemiMixedTypes="0" containsString="0" containsNumber="1" minValue="2341.5" maxValue="72586.5"/>
    </cacheField>
    <cacheField name="INVOICE VALUE" numFmtId="4">
      <sharedItems containsSemiMixedTypes="0" containsString="0" containsNumber="1" minValue="2341.5" maxValue="72586.5"/>
    </cacheField>
    <cacheField name="Months (Date)" numFmtId="0" databaseField="0">
      <fieldGroup base="3">
        <rangePr groupBy="months" startDate="2020-04-01T00:00:00" endDate="2021-07-04T00:00:00"/>
        <groupItems count="14">
          <s v="&lt;01-04-2020"/>
          <s v="Jan"/>
          <s v="Feb"/>
          <s v="Mar"/>
          <s v="Apr"/>
          <s v="May"/>
          <s v="Jun"/>
          <s v="Jul"/>
          <s v="Aug"/>
          <s v="Sep"/>
          <s v="Oct"/>
          <s v="Nov"/>
          <s v="Dec"/>
          <s v="&gt;04-07-2021"/>
        </groupItems>
      </fieldGroup>
    </cacheField>
  </cacheFields>
  <extLst>
    <ext xmlns:x14="http://schemas.microsoft.com/office/spreadsheetml/2009/9/main" uri="{725AE2AE-9491-48be-B2B4-4EB974FC3084}">
      <x14:pivotCacheDefinition pivotCacheId="1779145630"/>
    </ext>
  </extLst>
</pivotCacheDefinition>
</file>

<file path=xl/pivotCache/pivotCacheRecords1.xml><?xml version="1.0" encoding="utf-8"?>
<pivotCacheRecords xmlns="http://schemas.openxmlformats.org/spreadsheetml/2006/main" xmlns:r="http://schemas.openxmlformats.org/officeDocument/2006/relationships" count="36">
  <r>
    <x v="0"/>
    <x v="0"/>
    <n v="23"/>
    <x v="0"/>
    <x v="0"/>
    <x v="0"/>
    <n v="8"/>
    <s v="PCS"/>
    <n v="2225"/>
    <n v="17800"/>
    <n v="0"/>
    <n v="1602"/>
    <n v="1602"/>
    <m/>
    <n v="21004"/>
    <n v="21004"/>
  </r>
  <r>
    <x v="0"/>
    <x v="0"/>
    <n v="24"/>
    <x v="1"/>
    <x v="1"/>
    <x v="1"/>
    <n v="2"/>
    <s v="PCS"/>
    <n v="1670"/>
    <n v="3340"/>
    <n v="0"/>
    <n v="200.4"/>
    <n v="200.4"/>
    <m/>
    <n v="3740.8"/>
    <n v="3740.8"/>
  </r>
  <r>
    <x v="0"/>
    <x v="0"/>
    <n v="25"/>
    <x v="2"/>
    <x v="2"/>
    <x v="0"/>
    <n v="10"/>
    <s v="PCS"/>
    <n v="1115"/>
    <n v="11150"/>
    <n v="0"/>
    <n v="167.25"/>
    <n v="167.25"/>
    <m/>
    <n v="11484.5"/>
    <n v="11484.5"/>
  </r>
  <r>
    <x v="0"/>
    <x v="1"/>
    <n v="26"/>
    <x v="3"/>
    <x v="3"/>
    <x v="1"/>
    <n v="3"/>
    <s v="PCS"/>
    <n v="1115"/>
    <n v="3345"/>
    <n v="0"/>
    <n v="0"/>
    <n v="0"/>
    <m/>
    <n v="3345"/>
    <n v="3345"/>
  </r>
  <r>
    <x v="0"/>
    <x v="0"/>
    <n v="27"/>
    <x v="4"/>
    <x v="4"/>
    <x v="0"/>
    <n v="4"/>
    <s v="PCS"/>
    <n v="1115"/>
    <n v="4460"/>
    <n v="0"/>
    <n v="624.40000000000009"/>
    <n v="624.40000000000009"/>
    <m/>
    <n v="5708.7999999999993"/>
    <n v="5708.7999999999993"/>
  </r>
  <r>
    <x v="0"/>
    <x v="0"/>
    <n v="28"/>
    <x v="5"/>
    <x v="5"/>
    <x v="1"/>
    <n v="24"/>
    <s v="PCS"/>
    <n v="1115"/>
    <n v="26760"/>
    <n v="0"/>
    <n v="669"/>
    <n v="669"/>
    <m/>
    <n v="28098"/>
    <n v="28098"/>
  </r>
  <r>
    <x v="0"/>
    <x v="0"/>
    <n v="29"/>
    <x v="6"/>
    <x v="6"/>
    <x v="0"/>
    <n v="30"/>
    <s v="PCS"/>
    <n v="1115"/>
    <n v="33450"/>
    <n v="0"/>
    <n v="16.725000000000001"/>
    <n v="16.725000000000001"/>
    <m/>
    <n v="33483.449999999997"/>
    <n v="33483.449999999997"/>
  </r>
  <r>
    <x v="0"/>
    <x v="0"/>
    <n v="30"/>
    <x v="7"/>
    <x v="2"/>
    <x v="1"/>
    <n v="12"/>
    <s v="PCS"/>
    <n v="1115"/>
    <n v="13380"/>
    <n v="0"/>
    <n v="200.7"/>
    <n v="200.7"/>
    <m/>
    <n v="13781.400000000001"/>
    <n v="13781.400000000001"/>
  </r>
  <r>
    <x v="1"/>
    <x v="0"/>
    <n v="31"/>
    <x v="8"/>
    <x v="0"/>
    <x v="0"/>
    <n v="17"/>
    <s v="PCS"/>
    <n v="1115"/>
    <n v="18955"/>
    <n v="0"/>
    <n v="1705.95"/>
    <n v="1705.95"/>
    <m/>
    <n v="22366.9"/>
    <n v="22366.9"/>
  </r>
  <r>
    <x v="1"/>
    <x v="0"/>
    <n v="32"/>
    <x v="9"/>
    <x v="6"/>
    <x v="1"/>
    <n v="16"/>
    <s v="PCS"/>
    <n v="1115"/>
    <n v="17840"/>
    <n v="0"/>
    <n v="8.92"/>
    <n v="8.92"/>
    <m/>
    <n v="17857.839999999997"/>
    <n v="17857.839999999997"/>
  </r>
  <r>
    <x v="1"/>
    <x v="0"/>
    <n v="33"/>
    <x v="10"/>
    <x v="4"/>
    <x v="0"/>
    <n v="50"/>
    <s v="PCS"/>
    <n v="1115"/>
    <n v="55750"/>
    <n v="0"/>
    <n v="7805.0000000000009"/>
    <n v="7805.0000000000009"/>
    <m/>
    <n v="71360"/>
    <n v="71360"/>
  </r>
  <r>
    <x v="1"/>
    <x v="0"/>
    <n v="34"/>
    <x v="11"/>
    <x v="3"/>
    <x v="1"/>
    <n v="21"/>
    <s v="PCS"/>
    <n v="1115"/>
    <n v="23415"/>
    <n v="0"/>
    <n v="0"/>
    <n v="0"/>
    <m/>
    <n v="23415"/>
    <n v="23415"/>
  </r>
  <r>
    <x v="0"/>
    <x v="1"/>
    <n v="35"/>
    <x v="12"/>
    <x v="5"/>
    <x v="0"/>
    <n v="25"/>
    <s v="PCS"/>
    <n v="1115"/>
    <n v="27875"/>
    <n v="1393.75"/>
    <n v="0"/>
    <n v="0"/>
    <m/>
    <n v="29268.75"/>
    <n v="29268.75"/>
  </r>
  <r>
    <x v="0"/>
    <x v="1"/>
    <n v="36"/>
    <x v="13"/>
    <x v="0"/>
    <x v="1"/>
    <n v="42"/>
    <s v="PCS"/>
    <n v="1115"/>
    <n v="46830"/>
    <n v="8429.4"/>
    <n v="0"/>
    <n v="0"/>
    <m/>
    <n v="55259.4"/>
    <n v="55259.4"/>
  </r>
  <r>
    <x v="0"/>
    <x v="0"/>
    <n v="37"/>
    <x v="14"/>
    <x v="6"/>
    <x v="0"/>
    <n v="32"/>
    <s v="PCS"/>
    <n v="1115"/>
    <n v="35680"/>
    <n v="0"/>
    <n v="17.84"/>
    <n v="17.84"/>
    <m/>
    <n v="35715.679999999993"/>
    <n v="35715.679999999993"/>
  </r>
  <r>
    <x v="0"/>
    <x v="0"/>
    <n v="38"/>
    <x v="15"/>
    <x v="3"/>
    <x v="1"/>
    <n v="10"/>
    <s v="PCS"/>
    <n v="1115"/>
    <n v="11150"/>
    <n v="0"/>
    <n v="0"/>
    <n v="0"/>
    <m/>
    <n v="11150"/>
    <n v="11150"/>
  </r>
  <r>
    <x v="0"/>
    <x v="0"/>
    <n v="39"/>
    <x v="16"/>
    <x v="4"/>
    <x v="0"/>
    <n v="20"/>
    <s v="PCS"/>
    <n v="1115"/>
    <n v="22300"/>
    <n v="0"/>
    <n v="3122.0000000000005"/>
    <n v="3122.0000000000005"/>
    <m/>
    <n v="28544"/>
    <n v="28544"/>
  </r>
  <r>
    <x v="1"/>
    <x v="0"/>
    <n v="40"/>
    <x v="17"/>
    <x v="1"/>
    <x v="1"/>
    <n v="30"/>
    <s v="PCS"/>
    <n v="1115"/>
    <n v="33450"/>
    <n v="0"/>
    <n v="2007"/>
    <n v="2007"/>
    <m/>
    <n v="37464"/>
    <n v="37464"/>
  </r>
  <r>
    <x v="1"/>
    <x v="1"/>
    <n v="41"/>
    <x v="18"/>
    <x v="2"/>
    <x v="0"/>
    <n v="45"/>
    <s v="PCS"/>
    <n v="1115"/>
    <n v="50175"/>
    <n v="1505.25"/>
    <n v="0"/>
    <n v="0"/>
    <m/>
    <n v="51680.25"/>
    <n v="51680.25"/>
  </r>
  <r>
    <x v="1"/>
    <x v="0"/>
    <n v="42"/>
    <x v="19"/>
    <x v="5"/>
    <x v="1"/>
    <n v="62"/>
    <s v="PCS"/>
    <n v="1115"/>
    <n v="69130"/>
    <n v="0"/>
    <n v="1728.25"/>
    <n v="1728.25"/>
    <m/>
    <n v="72586.5"/>
    <n v="72586.5"/>
  </r>
  <r>
    <x v="1"/>
    <x v="0"/>
    <n v="43"/>
    <x v="20"/>
    <x v="3"/>
    <x v="0"/>
    <n v="12"/>
    <s v="PCS"/>
    <n v="1115"/>
    <n v="13380"/>
    <n v="0"/>
    <n v="0"/>
    <n v="0"/>
    <m/>
    <n v="13380"/>
    <n v="13380"/>
  </r>
  <r>
    <x v="1"/>
    <x v="0"/>
    <n v="44"/>
    <x v="21"/>
    <x v="3"/>
    <x v="1"/>
    <n v="25"/>
    <s v="PCS"/>
    <n v="1115"/>
    <n v="27875"/>
    <n v="0"/>
    <n v="0"/>
    <n v="0"/>
    <m/>
    <n v="27875"/>
    <n v="27875"/>
  </r>
  <r>
    <x v="1"/>
    <x v="0"/>
    <n v="45"/>
    <x v="22"/>
    <x v="1"/>
    <x v="0"/>
    <n v="45"/>
    <s v="PCS"/>
    <n v="1115"/>
    <n v="50175"/>
    <n v="0"/>
    <n v="3010.5"/>
    <n v="3010.5"/>
    <m/>
    <n v="56196"/>
    <n v="56196"/>
  </r>
  <r>
    <x v="1"/>
    <x v="0"/>
    <n v="46"/>
    <x v="23"/>
    <x v="1"/>
    <x v="1"/>
    <n v="20"/>
    <s v="PCS"/>
    <n v="1115"/>
    <n v="22300"/>
    <n v="0"/>
    <n v="1338"/>
    <n v="1338"/>
    <m/>
    <n v="24976"/>
    <n v="24976"/>
  </r>
  <r>
    <x v="1"/>
    <x v="0"/>
    <n v="47"/>
    <x v="24"/>
    <x v="2"/>
    <x v="0"/>
    <n v="10"/>
    <s v="PCS"/>
    <n v="1115"/>
    <n v="11150"/>
    <n v="0"/>
    <n v="167.25"/>
    <n v="167.25"/>
    <m/>
    <n v="11484.5"/>
    <n v="11484.5"/>
  </r>
  <r>
    <x v="0"/>
    <x v="0"/>
    <n v="48"/>
    <x v="25"/>
    <x v="4"/>
    <x v="1"/>
    <n v="35"/>
    <s v="PCS"/>
    <n v="1115"/>
    <n v="39025"/>
    <n v="0"/>
    <n v="5463.5000000000009"/>
    <n v="5463.5000000000009"/>
    <m/>
    <n v="49952"/>
    <n v="49952"/>
  </r>
  <r>
    <x v="0"/>
    <x v="0"/>
    <n v="49"/>
    <x v="26"/>
    <x v="1"/>
    <x v="0"/>
    <n v="15"/>
    <s v="PCS"/>
    <n v="1115"/>
    <n v="16725"/>
    <n v="0"/>
    <n v="1003.5"/>
    <n v="1003.5"/>
    <m/>
    <n v="18732"/>
    <n v="18732"/>
  </r>
  <r>
    <x v="0"/>
    <x v="0"/>
    <n v="50"/>
    <x v="27"/>
    <x v="2"/>
    <x v="1"/>
    <n v="25"/>
    <s v="PCS"/>
    <n v="1115"/>
    <n v="27875"/>
    <n v="0"/>
    <n v="418.125"/>
    <n v="418.125"/>
    <m/>
    <n v="28711.25"/>
    <n v="28711.25"/>
  </r>
  <r>
    <x v="0"/>
    <x v="0"/>
    <n v="51"/>
    <x v="28"/>
    <x v="4"/>
    <x v="0"/>
    <n v="10"/>
    <s v="PCS"/>
    <n v="1115"/>
    <n v="11150"/>
    <n v="0"/>
    <n v="1561.0000000000002"/>
    <n v="1561.0000000000002"/>
    <m/>
    <n v="14272"/>
    <n v="14272"/>
  </r>
  <r>
    <x v="0"/>
    <x v="0"/>
    <n v="52"/>
    <x v="29"/>
    <x v="5"/>
    <x v="1"/>
    <n v="5"/>
    <s v="PCS"/>
    <n v="1115"/>
    <n v="5575"/>
    <n v="0"/>
    <n v="139.375"/>
    <n v="139.375"/>
    <m/>
    <n v="5853.75"/>
    <n v="5853.75"/>
  </r>
  <r>
    <x v="1"/>
    <x v="0"/>
    <n v="53"/>
    <x v="30"/>
    <x v="2"/>
    <x v="0"/>
    <n v="8"/>
    <s v="PCS"/>
    <n v="1115"/>
    <n v="8920"/>
    <n v="0"/>
    <n v="133.79999999999998"/>
    <n v="133.79999999999998"/>
    <m/>
    <n v="9187.5999999999985"/>
    <n v="9187.5999999999985"/>
  </r>
  <r>
    <x v="1"/>
    <x v="0"/>
    <n v="54"/>
    <x v="31"/>
    <x v="5"/>
    <x v="1"/>
    <n v="10"/>
    <s v="PCS"/>
    <n v="1115"/>
    <n v="11150"/>
    <n v="0"/>
    <n v="278.75"/>
    <n v="278.75"/>
    <m/>
    <n v="11707.5"/>
    <n v="11707.5"/>
  </r>
  <r>
    <x v="1"/>
    <x v="0"/>
    <n v="55"/>
    <x v="32"/>
    <x v="5"/>
    <x v="0"/>
    <n v="2"/>
    <s v="PCS"/>
    <n v="1115"/>
    <n v="2230"/>
    <n v="0"/>
    <n v="55.75"/>
    <n v="55.75"/>
    <m/>
    <n v="2341.5"/>
    <n v="2341.5"/>
  </r>
  <r>
    <x v="1"/>
    <x v="0"/>
    <n v="56"/>
    <x v="33"/>
    <x v="4"/>
    <x v="1"/>
    <n v="4"/>
    <s v="PCS"/>
    <n v="1115"/>
    <n v="4460"/>
    <n v="0"/>
    <n v="624.40000000000009"/>
    <n v="624.40000000000009"/>
    <m/>
    <n v="5708.7999999999993"/>
    <n v="5708.7999999999993"/>
  </r>
  <r>
    <x v="0"/>
    <x v="0"/>
    <n v="57"/>
    <x v="34"/>
    <x v="6"/>
    <x v="0"/>
    <n v="6"/>
    <s v="PCS"/>
    <n v="1115"/>
    <n v="6690"/>
    <n v="0"/>
    <n v="3.3450000000000002"/>
    <n v="3.3450000000000002"/>
    <m/>
    <n v="6696.6900000000005"/>
    <n v="6696.6900000000005"/>
  </r>
  <r>
    <x v="0"/>
    <x v="0"/>
    <n v="58"/>
    <x v="35"/>
    <x v="3"/>
    <x v="1"/>
    <n v="5"/>
    <s v="PCS"/>
    <n v="1115"/>
    <n v="5575"/>
    <n v="0"/>
    <n v="0"/>
    <n v="0"/>
    <m/>
    <n v="5575"/>
    <n v="557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
  <r>
    <x v="0"/>
    <x v="0"/>
    <n v="23"/>
    <x v="0"/>
    <x v="0"/>
    <x v="0"/>
    <n v="8"/>
    <s v="PCS"/>
    <n v="2225"/>
    <n v="17800"/>
    <n v="0"/>
    <n v="1602"/>
    <n v="1602"/>
    <m/>
    <n v="21004"/>
    <n v="21004"/>
  </r>
  <r>
    <x v="0"/>
    <x v="0"/>
    <n v="24"/>
    <x v="1"/>
    <x v="1"/>
    <x v="1"/>
    <n v="2"/>
    <s v="PCS"/>
    <n v="1670"/>
    <n v="3340"/>
    <n v="0"/>
    <n v="200.4"/>
    <n v="200.4"/>
    <m/>
    <n v="3740.8"/>
    <n v="3740.8"/>
  </r>
  <r>
    <x v="0"/>
    <x v="0"/>
    <n v="25"/>
    <x v="2"/>
    <x v="2"/>
    <x v="0"/>
    <n v="10"/>
    <s v="PCS"/>
    <n v="1115"/>
    <n v="11150"/>
    <n v="0"/>
    <n v="167.25"/>
    <n v="167.25"/>
    <m/>
    <n v="11484.5"/>
    <n v="11484.5"/>
  </r>
  <r>
    <x v="0"/>
    <x v="1"/>
    <n v="26"/>
    <x v="3"/>
    <x v="3"/>
    <x v="1"/>
    <n v="3"/>
    <s v="PCS"/>
    <n v="1115"/>
    <n v="3345"/>
    <n v="0"/>
    <n v="0"/>
    <n v="0"/>
    <m/>
    <n v="3345"/>
    <n v="3345"/>
  </r>
  <r>
    <x v="0"/>
    <x v="0"/>
    <n v="27"/>
    <x v="4"/>
    <x v="4"/>
    <x v="0"/>
    <n v="4"/>
    <s v="PCS"/>
    <n v="1115"/>
    <n v="4460"/>
    <n v="0"/>
    <n v="624.40000000000009"/>
    <n v="624.40000000000009"/>
    <m/>
    <n v="5708.7999999999993"/>
    <n v="5708.7999999999993"/>
  </r>
  <r>
    <x v="0"/>
    <x v="0"/>
    <n v="28"/>
    <x v="5"/>
    <x v="5"/>
    <x v="1"/>
    <n v="24"/>
    <s v="PCS"/>
    <n v="1115"/>
    <n v="26760"/>
    <n v="0"/>
    <n v="669"/>
    <n v="669"/>
    <m/>
    <n v="28098"/>
    <n v="28098"/>
  </r>
  <r>
    <x v="0"/>
    <x v="0"/>
    <n v="29"/>
    <x v="6"/>
    <x v="6"/>
    <x v="0"/>
    <n v="30"/>
    <s v="PCS"/>
    <n v="1115"/>
    <n v="33450"/>
    <n v="0"/>
    <n v="16.725000000000001"/>
    <n v="16.725000000000001"/>
    <m/>
    <n v="33483.449999999997"/>
    <n v="33483.449999999997"/>
  </r>
  <r>
    <x v="0"/>
    <x v="0"/>
    <n v="30"/>
    <x v="7"/>
    <x v="2"/>
    <x v="1"/>
    <n v="12"/>
    <s v="PCS"/>
    <n v="1115"/>
    <n v="13380"/>
    <n v="0"/>
    <n v="200.7"/>
    <n v="200.7"/>
    <m/>
    <n v="13781.400000000001"/>
    <n v="13781.400000000001"/>
  </r>
  <r>
    <x v="1"/>
    <x v="0"/>
    <n v="31"/>
    <x v="8"/>
    <x v="0"/>
    <x v="0"/>
    <n v="17"/>
    <s v="PCS"/>
    <n v="1115"/>
    <n v="18955"/>
    <n v="0"/>
    <n v="1705.95"/>
    <n v="1705.95"/>
    <m/>
    <n v="22366.9"/>
    <n v="22366.9"/>
  </r>
  <r>
    <x v="1"/>
    <x v="0"/>
    <n v="32"/>
    <x v="9"/>
    <x v="6"/>
    <x v="1"/>
    <n v="16"/>
    <s v="PCS"/>
    <n v="1115"/>
    <n v="17840"/>
    <n v="0"/>
    <n v="8.92"/>
    <n v="8.92"/>
    <m/>
    <n v="17857.839999999997"/>
    <n v="17857.839999999997"/>
  </r>
  <r>
    <x v="1"/>
    <x v="0"/>
    <n v="33"/>
    <x v="10"/>
    <x v="4"/>
    <x v="0"/>
    <n v="50"/>
    <s v="PCS"/>
    <n v="1115"/>
    <n v="55750"/>
    <n v="0"/>
    <n v="7805.0000000000009"/>
    <n v="7805.0000000000009"/>
    <m/>
    <n v="71360"/>
    <n v="71360"/>
  </r>
  <r>
    <x v="1"/>
    <x v="0"/>
    <n v="34"/>
    <x v="11"/>
    <x v="3"/>
    <x v="1"/>
    <n v="21"/>
    <s v="PCS"/>
    <n v="1115"/>
    <n v="23415"/>
    <n v="0"/>
    <n v="0"/>
    <n v="0"/>
    <m/>
    <n v="23415"/>
    <n v="23415"/>
  </r>
  <r>
    <x v="0"/>
    <x v="1"/>
    <n v="35"/>
    <x v="12"/>
    <x v="5"/>
    <x v="0"/>
    <n v="25"/>
    <s v="PCS"/>
    <n v="1115"/>
    <n v="27875"/>
    <n v="1393.75"/>
    <n v="0"/>
    <n v="0"/>
    <m/>
    <n v="29268.75"/>
    <n v="29268.75"/>
  </r>
  <r>
    <x v="0"/>
    <x v="1"/>
    <n v="36"/>
    <x v="13"/>
    <x v="0"/>
    <x v="1"/>
    <n v="42"/>
    <s v="PCS"/>
    <n v="1115"/>
    <n v="46830"/>
    <n v="8429.4"/>
    <n v="0"/>
    <n v="0"/>
    <m/>
    <n v="55259.4"/>
    <n v="55259.4"/>
  </r>
  <r>
    <x v="0"/>
    <x v="0"/>
    <n v="37"/>
    <x v="14"/>
    <x v="6"/>
    <x v="0"/>
    <n v="32"/>
    <s v="PCS"/>
    <n v="1115"/>
    <n v="35680"/>
    <n v="0"/>
    <n v="17.84"/>
    <n v="17.84"/>
    <m/>
    <n v="35715.679999999993"/>
    <n v="35715.679999999993"/>
  </r>
  <r>
    <x v="0"/>
    <x v="0"/>
    <n v="38"/>
    <x v="15"/>
    <x v="3"/>
    <x v="1"/>
    <n v="10"/>
    <s v="PCS"/>
    <n v="1115"/>
    <n v="11150"/>
    <n v="0"/>
    <n v="0"/>
    <n v="0"/>
    <m/>
    <n v="11150"/>
    <n v="11150"/>
  </r>
  <r>
    <x v="0"/>
    <x v="0"/>
    <n v="39"/>
    <x v="16"/>
    <x v="4"/>
    <x v="0"/>
    <n v="20"/>
    <s v="PCS"/>
    <n v="1115"/>
    <n v="22300"/>
    <n v="0"/>
    <n v="3122.0000000000005"/>
    <n v="3122.0000000000005"/>
    <m/>
    <n v="28544"/>
    <n v="28544"/>
  </r>
  <r>
    <x v="1"/>
    <x v="0"/>
    <n v="40"/>
    <x v="17"/>
    <x v="1"/>
    <x v="1"/>
    <n v="30"/>
    <s v="PCS"/>
    <n v="1115"/>
    <n v="33450"/>
    <n v="0"/>
    <n v="2007"/>
    <n v="2007"/>
    <m/>
    <n v="37464"/>
    <n v="37464"/>
  </r>
  <r>
    <x v="1"/>
    <x v="1"/>
    <n v="41"/>
    <x v="18"/>
    <x v="2"/>
    <x v="0"/>
    <n v="45"/>
    <s v="PCS"/>
    <n v="1115"/>
    <n v="50175"/>
    <n v="1505.25"/>
    <n v="0"/>
    <n v="0"/>
    <m/>
    <n v="51680.25"/>
    <n v="51680.25"/>
  </r>
  <r>
    <x v="1"/>
    <x v="0"/>
    <n v="42"/>
    <x v="19"/>
    <x v="5"/>
    <x v="1"/>
    <n v="62"/>
    <s v="PCS"/>
    <n v="1115"/>
    <n v="69130"/>
    <n v="0"/>
    <n v="1728.25"/>
    <n v="1728.25"/>
    <m/>
    <n v="72586.5"/>
    <n v="72586.5"/>
  </r>
  <r>
    <x v="1"/>
    <x v="0"/>
    <n v="43"/>
    <x v="20"/>
    <x v="3"/>
    <x v="0"/>
    <n v="12"/>
    <s v="PCS"/>
    <n v="1115"/>
    <n v="13380"/>
    <n v="0"/>
    <n v="0"/>
    <n v="0"/>
    <m/>
    <n v="13380"/>
    <n v="13380"/>
  </r>
  <r>
    <x v="1"/>
    <x v="0"/>
    <n v="44"/>
    <x v="21"/>
    <x v="3"/>
    <x v="1"/>
    <n v="25"/>
    <s v="PCS"/>
    <n v="1115"/>
    <n v="27875"/>
    <n v="0"/>
    <n v="0"/>
    <n v="0"/>
    <m/>
    <n v="27875"/>
    <n v="27875"/>
  </r>
  <r>
    <x v="1"/>
    <x v="0"/>
    <n v="45"/>
    <x v="22"/>
    <x v="1"/>
    <x v="0"/>
    <n v="45"/>
    <s v="PCS"/>
    <n v="1115"/>
    <n v="50175"/>
    <n v="0"/>
    <n v="3010.5"/>
    <n v="3010.5"/>
    <m/>
    <n v="56196"/>
    <n v="56196"/>
  </r>
  <r>
    <x v="1"/>
    <x v="0"/>
    <n v="46"/>
    <x v="23"/>
    <x v="1"/>
    <x v="1"/>
    <n v="20"/>
    <s v="PCS"/>
    <n v="1115"/>
    <n v="22300"/>
    <n v="0"/>
    <n v="1338"/>
    <n v="1338"/>
    <m/>
    <n v="24976"/>
    <n v="24976"/>
  </r>
  <r>
    <x v="1"/>
    <x v="0"/>
    <n v="47"/>
    <x v="24"/>
    <x v="2"/>
    <x v="0"/>
    <n v="10"/>
    <s v="PCS"/>
    <n v="1115"/>
    <n v="11150"/>
    <n v="0"/>
    <n v="167.25"/>
    <n v="167.25"/>
    <m/>
    <n v="11484.5"/>
    <n v="11484.5"/>
  </r>
  <r>
    <x v="0"/>
    <x v="0"/>
    <n v="48"/>
    <x v="25"/>
    <x v="4"/>
    <x v="1"/>
    <n v="35"/>
    <s v="PCS"/>
    <n v="1115"/>
    <n v="39025"/>
    <n v="0"/>
    <n v="5463.5000000000009"/>
    <n v="5463.5000000000009"/>
    <m/>
    <n v="49952"/>
    <n v="49952"/>
  </r>
  <r>
    <x v="0"/>
    <x v="0"/>
    <n v="49"/>
    <x v="26"/>
    <x v="1"/>
    <x v="0"/>
    <n v="15"/>
    <s v="PCS"/>
    <n v="1115"/>
    <n v="16725"/>
    <n v="0"/>
    <n v="1003.5"/>
    <n v="1003.5"/>
    <m/>
    <n v="18732"/>
    <n v="18732"/>
  </r>
  <r>
    <x v="0"/>
    <x v="0"/>
    <n v="50"/>
    <x v="27"/>
    <x v="2"/>
    <x v="1"/>
    <n v="25"/>
    <s v="PCS"/>
    <n v="1115"/>
    <n v="27875"/>
    <n v="0"/>
    <n v="418.125"/>
    <n v="418.125"/>
    <m/>
    <n v="28711.25"/>
    <n v="28711.25"/>
  </r>
  <r>
    <x v="0"/>
    <x v="0"/>
    <n v="51"/>
    <x v="28"/>
    <x v="4"/>
    <x v="0"/>
    <n v="10"/>
    <s v="PCS"/>
    <n v="1115"/>
    <n v="11150"/>
    <n v="0"/>
    <n v="1561.0000000000002"/>
    <n v="1561.0000000000002"/>
    <m/>
    <n v="14272"/>
    <n v="14272"/>
  </r>
  <r>
    <x v="0"/>
    <x v="0"/>
    <n v="52"/>
    <x v="29"/>
    <x v="5"/>
    <x v="1"/>
    <n v="5"/>
    <s v="PCS"/>
    <n v="1115"/>
    <n v="5575"/>
    <n v="0"/>
    <n v="139.375"/>
    <n v="139.375"/>
    <m/>
    <n v="5853.75"/>
    <n v="5853.75"/>
  </r>
  <r>
    <x v="1"/>
    <x v="0"/>
    <n v="53"/>
    <x v="30"/>
    <x v="2"/>
    <x v="0"/>
    <n v="8"/>
    <s v="PCS"/>
    <n v="1115"/>
    <n v="8920"/>
    <n v="0"/>
    <n v="133.79999999999998"/>
    <n v="133.79999999999998"/>
    <m/>
    <n v="9187.5999999999985"/>
    <n v="9187.5999999999985"/>
  </r>
  <r>
    <x v="1"/>
    <x v="0"/>
    <n v="54"/>
    <x v="31"/>
    <x v="5"/>
    <x v="1"/>
    <n v="10"/>
    <s v="PCS"/>
    <n v="1115"/>
    <n v="11150"/>
    <n v="0"/>
    <n v="278.75"/>
    <n v="278.75"/>
    <m/>
    <n v="11707.5"/>
    <n v="11707.5"/>
  </r>
  <r>
    <x v="1"/>
    <x v="0"/>
    <n v="55"/>
    <x v="32"/>
    <x v="5"/>
    <x v="0"/>
    <n v="2"/>
    <s v="PCS"/>
    <n v="1115"/>
    <n v="2230"/>
    <n v="0"/>
    <n v="55.75"/>
    <n v="55.75"/>
    <m/>
    <n v="2341.5"/>
    <n v="2341.5"/>
  </r>
  <r>
    <x v="1"/>
    <x v="0"/>
    <n v="56"/>
    <x v="33"/>
    <x v="4"/>
    <x v="1"/>
    <n v="4"/>
    <s v="PCS"/>
    <n v="1115"/>
    <n v="4460"/>
    <n v="0"/>
    <n v="624.40000000000009"/>
    <n v="624.40000000000009"/>
    <m/>
    <n v="5708.7999999999993"/>
    <n v="5708.7999999999993"/>
  </r>
  <r>
    <x v="0"/>
    <x v="0"/>
    <n v="57"/>
    <x v="34"/>
    <x v="6"/>
    <x v="0"/>
    <n v="6"/>
    <s v="PCS"/>
    <n v="1115"/>
    <n v="6690"/>
    <n v="0"/>
    <n v="3.3450000000000002"/>
    <n v="3.3450000000000002"/>
    <m/>
    <n v="6696.6900000000005"/>
    <n v="6696.6900000000005"/>
  </r>
  <r>
    <x v="0"/>
    <x v="0"/>
    <n v="58"/>
    <x v="35"/>
    <x v="3"/>
    <x v="1"/>
    <n v="5"/>
    <s v="PCS"/>
    <n v="1115"/>
    <n v="5575"/>
    <n v="0"/>
    <n v="0"/>
    <n v="0"/>
    <m/>
    <n v="5575"/>
    <n v="557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T_FIRM" cacheId="0"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3">
  <location ref="A3:B6" firstHeaderRow="1" firstDataRow="1" firstDataCol="1"/>
  <pivotFields count="16">
    <pivotField axis="axisRow" showAll="0">
      <items count="3">
        <item x="0"/>
        <item x="1"/>
        <item t="default"/>
      </items>
    </pivotField>
    <pivotField showAll="0">
      <items count="3">
        <item x="1"/>
        <item x="0"/>
        <item t="default"/>
      </items>
    </pivotField>
    <pivotField showAll="0"/>
    <pivotField numFmtId="14" showAll="0">
      <items count="15">
        <item x="0"/>
        <item x="1"/>
        <item x="2"/>
        <item x="3"/>
        <item x="4"/>
        <item x="5"/>
        <item x="6"/>
        <item x="7"/>
        <item x="8"/>
        <item x="9"/>
        <item x="10"/>
        <item x="11"/>
        <item x="12"/>
        <item x="13"/>
        <item t="default"/>
      </items>
    </pivotField>
    <pivotField numFmtId="10" showAll="0">
      <items count="8">
        <item x="3"/>
        <item x="6"/>
        <item x="2"/>
        <item x="5"/>
        <item x="1"/>
        <item x="0"/>
        <item x="4"/>
        <item t="default"/>
      </items>
    </pivotField>
    <pivotField showAll="0">
      <items count="3">
        <item x="1"/>
        <item x="0"/>
        <item t="default"/>
      </items>
    </pivotField>
    <pivotField showAll="0"/>
    <pivotField showAll="0"/>
    <pivotField numFmtId="4" showAll="0"/>
    <pivotField numFmtId="4" showAll="0"/>
    <pivotField numFmtId="4" showAll="0"/>
    <pivotField numFmtId="4" showAll="0"/>
    <pivotField numFmtId="4" showAll="0"/>
    <pivotField showAll="0"/>
    <pivotField dataField="1" numFmtId="4" showAll="0"/>
    <pivotField numFmtId="4" showAll="0"/>
  </pivotFields>
  <rowFields count="1">
    <field x="0"/>
  </rowFields>
  <rowItems count="3">
    <i>
      <x/>
    </i>
    <i>
      <x v="1"/>
    </i>
    <i t="grand">
      <x/>
    </i>
  </rowItems>
  <colItems count="1">
    <i/>
  </colItems>
  <dataFields count="1">
    <dataField name="Sum of TOTAL"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T_MTH" cacheId="0"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4">
  <location ref="A3:B8" firstHeaderRow="1" firstDataRow="1" firstDataCol="1"/>
  <pivotFields count="16">
    <pivotField showAll="0">
      <items count="3">
        <item x="0"/>
        <item x="1"/>
        <item t="default"/>
      </items>
    </pivotField>
    <pivotField showAll="0">
      <items count="3">
        <item x="1"/>
        <item x="0"/>
        <item t="default"/>
      </items>
    </pivotField>
    <pivotField showAll="0"/>
    <pivotField axis="axisRow" numFmtId="14" showAll="0">
      <items count="15">
        <item x="0"/>
        <item x="1"/>
        <item x="2"/>
        <item x="3"/>
        <item x="4"/>
        <item x="5"/>
        <item x="6"/>
        <item x="7"/>
        <item x="8"/>
        <item x="9"/>
        <item x="10"/>
        <item x="11"/>
        <item x="12"/>
        <item x="13"/>
        <item t="default"/>
      </items>
    </pivotField>
    <pivotField numFmtId="10" showAll="0">
      <items count="8">
        <item x="3"/>
        <item x="6"/>
        <item x="2"/>
        <item x="5"/>
        <item x="1"/>
        <item x="0"/>
        <item x="4"/>
        <item t="default"/>
      </items>
    </pivotField>
    <pivotField showAll="0">
      <items count="3">
        <item x="1"/>
        <item x="0"/>
        <item t="default"/>
      </items>
    </pivotField>
    <pivotField showAll="0"/>
    <pivotField showAll="0"/>
    <pivotField numFmtId="4" showAll="0"/>
    <pivotField numFmtId="4" showAll="0"/>
    <pivotField numFmtId="4" showAll="0"/>
    <pivotField numFmtId="4" showAll="0"/>
    <pivotField numFmtId="4" showAll="0"/>
    <pivotField showAll="0"/>
    <pivotField dataField="1" numFmtId="4" showAll="0"/>
    <pivotField numFmtId="4" showAll="0"/>
  </pivotFields>
  <rowFields count="1">
    <field x="3"/>
  </rowFields>
  <rowItems count="5">
    <i>
      <x v="4"/>
    </i>
    <i>
      <x v="5"/>
    </i>
    <i>
      <x v="6"/>
    </i>
    <i>
      <x v="7"/>
    </i>
    <i t="grand">
      <x/>
    </i>
  </rowItems>
  <colItems count="1">
    <i/>
  </colItems>
  <dataFields count="1">
    <dataField name="Sum of TOTAL" fld="14" baseField="0" baseItem="0"/>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T_TAX" cacheId="0"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5">
  <location ref="A3:F11" firstHeaderRow="0" firstDataRow="1" firstDataCol="1"/>
  <pivotFields count="16">
    <pivotField showAll="0">
      <items count="3">
        <item x="0"/>
        <item x="1"/>
        <item t="default"/>
      </items>
    </pivotField>
    <pivotField showAll="0">
      <items count="3">
        <item x="1"/>
        <item x="0"/>
        <item t="default"/>
      </items>
    </pivotField>
    <pivotField showAll="0"/>
    <pivotField numFmtId="14" showAll="0">
      <items count="15">
        <item x="0"/>
        <item x="1"/>
        <item x="2"/>
        <item x="3"/>
        <item x="4"/>
        <item x="5"/>
        <item x="6"/>
        <item x="7"/>
        <item x="8"/>
        <item x="9"/>
        <item x="10"/>
        <item x="11"/>
        <item x="12"/>
        <item x="13"/>
        <item t="default"/>
      </items>
    </pivotField>
    <pivotField axis="axisRow" numFmtId="10" showAll="0">
      <items count="8">
        <item x="3"/>
        <item x="6"/>
        <item x="2"/>
        <item x="5"/>
        <item x="1"/>
        <item x="0"/>
        <item x="4"/>
        <item t="default"/>
      </items>
    </pivotField>
    <pivotField showAll="0">
      <items count="3">
        <item x="1"/>
        <item x="0"/>
        <item t="default"/>
      </items>
    </pivotField>
    <pivotField showAll="0"/>
    <pivotField showAll="0"/>
    <pivotField numFmtId="4" showAll="0"/>
    <pivotField numFmtId="4" showAll="0"/>
    <pivotField dataField="1" numFmtId="4" showAll="0"/>
    <pivotField dataField="1" numFmtId="4" showAll="0"/>
    <pivotField dataField="1" numFmtId="4" showAll="0"/>
    <pivotField dataField="1" showAll="0"/>
    <pivotField dataField="1" numFmtId="4" showAll="0"/>
    <pivotField numFmtId="4" showAll="0"/>
  </pivotFields>
  <rowFields count="1">
    <field x="4"/>
  </rowFields>
  <rowItems count="8">
    <i>
      <x/>
    </i>
    <i>
      <x v="1"/>
    </i>
    <i>
      <x v="2"/>
    </i>
    <i>
      <x v="3"/>
    </i>
    <i>
      <x v="4"/>
    </i>
    <i>
      <x v="5"/>
    </i>
    <i>
      <x v="6"/>
    </i>
    <i t="grand">
      <x/>
    </i>
  </rowItems>
  <colFields count="1">
    <field x="-2"/>
  </colFields>
  <colItems count="5">
    <i>
      <x/>
    </i>
    <i i="1">
      <x v="1"/>
    </i>
    <i i="2">
      <x v="2"/>
    </i>
    <i i="3">
      <x v="3"/>
    </i>
    <i i="4">
      <x v="4"/>
    </i>
  </colItems>
  <dataFields count="5">
    <dataField name="Sum of IGST" fld="10" baseField="0" baseItem="0"/>
    <dataField name="Sum of CGST" fld="11" baseField="0" baseItem="0"/>
    <dataField name="Sum of SGST" fld="12" baseField="0" baseItem="0"/>
    <dataField name="Count of CESS" fld="13" subtotal="count" baseField="0" baseItem="0"/>
    <dataField name="Sum of TOTAL" fld="14" baseField="0" baseItem="0"/>
  </dataFields>
  <chartFormats count="5">
    <chartFormat chart="3" format="5"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1"/>
          </reference>
        </references>
      </pivotArea>
    </chartFormat>
    <chartFormat chart="3" format="7" series="1">
      <pivotArea type="data" outline="0" fieldPosition="0">
        <references count="1">
          <reference field="4294967294" count="1" selected="0">
            <x v="2"/>
          </reference>
        </references>
      </pivotArea>
    </chartFormat>
    <chartFormat chart="3" format="8" series="1">
      <pivotArea type="data" outline="0" fieldPosition="0">
        <references count="1">
          <reference field="4294967294" count="1" selected="0">
            <x v="3"/>
          </reference>
        </references>
      </pivotArea>
    </chartFormat>
    <chartFormat chart="3" format="9"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T_PRODUCT" cacheId="0"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4">
  <location ref="A3:B6" firstHeaderRow="1" firstDataRow="1" firstDataCol="1"/>
  <pivotFields count="16">
    <pivotField showAll="0">
      <items count="3">
        <item x="0"/>
        <item x="1"/>
        <item t="default"/>
      </items>
    </pivotField>
    <pivotField showAll="0">
      <items count="3">
        <item x="1"/>
        <item x="0"/>
        <item t="default"/>
      </items>
    </pivotField>
    <pivotField showAll="0"/>
    <pivotField numFmtId="14" showAll="0">
      <items count="15">
        <item x="0"/>
        <item x="1"/>
        <item x="2"/>
        <item x="3"/>
        <item x="4"/>
        <item x="5"/>
        <item x="6"/>
        <item x="7"/>
        <item x="8"/>
        <item x="9"/>
        <item x="10"/>
        <item x="11"/>
        <item x="12"/>
        <item x="13"/>
        <item t="default"/>
      </items>
    </pivotField>
    <pivotField numFmtId="10" showAll="0">
      <items count="8">
        <item x="3"/>
        <item x="6"/>
        <item x="2"/>
        <item x="5"/>
        <item x="1"/>
        <item x="0"/>
        <item x="4"/>
        <item t="default"/>
      </items>
    </pivotField>
    <pivotField axis="axisRow" showAll="0">
      <items count="3">
        <item x="1"/>
        <item x="0"/>
        <item t="default"/>
      </items>
    </pivotField>
    <pivotField showAll="0"/>
    <pivotField showAll="0"/>
    <pivotField numFmtId="4" showAll="0"/>
    <pivotField numFmtId="4" showAll="0"/>
    <pivotField numFmtId="4" showAll="0"/>
    <pivotField numFmtId="4" showAll="0"/>
    <pivotField numFmtId="4" showAll="0"/>
    <pivotField showAll="0"/>
    <pivotField dataField="1" numFmtId="4" showAll="0"/>
    <pivotField numFmtId="4" showAll="0"/>
  </pivotFields>
  <rowFields count="1">
    <field x="5"/>
  </rowFields>
  <rowItems count="3">
    <i>
      <x/>
    </i>
    <i>
      <x v="1"/>
    </i>
    <i t="grand">
      <x/>
    </i>
  </rowItems>
  <colItems count="1">
    <i/>
  </colItems>
  <dataFields count="1">
    <dataField name="Sum of TOTAL" fld="14" baseField="0" baseItem="0"/>
  </dataField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5" count="1" selected="0">
            <x v="0"/>
          </reference>
        </references>
      </pivotArea>
    </chartFormat>
    <chartFormat chart="2"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75A30F7-B97A-47B1-9BDE-60C58268F4A0}"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6" firstHeaderRow="1" firstDataRow="1" firstDataCol="1"/>
  <pivotFields count="17">
    <pivotField name="PT_Firm" axis="axisRow" showAll="0">
      <items count="3">
        <item x="0"/>
        <item x="1"/>
        <item t="default"/>
      </items>
    </pivotField>
    <pivotField showAll="0">
      <items count="3">
        <item x="1"/>
        <item x="0"/>
        <item t="default"/>
      </items>
    </pivotField>
    <pivotField showAll="0"/>
    <pivotField numFmtId="14" showAll="0">
      <items count="37">
        <item x="0"/>
        <item x="3"/>
        <item x="6"/>
        <item x="9"/>
        <item x="12"/>
        <item x="15"/>
        <item x="18"/>
        <item x="21"/>
        <item x="24"/>
        <item x="1"/>
        <item x="4"/>
        <item x="7"/>
        <item x="10"/>
        <item x="13"/>
        <item x="16"/>
        <item x="19"/>
        <item x="22"/>
        <item x="25"/>
        <item x="2"/>
        <item x="5"/>
        <item x="8"/>
        <item x="11"/>
        <item x="14"/>
        <item x="17"/>
        <item x="20"/>
        <item x="23"/>
        <item x="26"/>
        <item x="27"/>
        <item x="30"/>
        <item x="33"/>
        <item x="28"/>
        <item x="31"/>
        <item x="34"/>
        <item x="29"/>
        <item x="32"/>
        <item x="35"/>
        <item t="default"/>
      </items>
    </pivotField>
    <pivotField numFmtId="10" showAll="0">
      <items count="8">
        <item x="3"/>
        <item x="6"/>
        <item x="2"/>
        <item x="5"/>
        <item x="1"/>
        <item x="0"/>
        <item x="4"/>
        <item t="default"/>
      </items>
    </pivotField>
    <pivotField showAll="0">
      <items count="3">
        <item x="1"/>
        <item x="0"/>
        <item t="default"/>
      </items>
    </pivotField>
    <pivotField showAll="0"/>
    <pivotField showAll="0"/>
    <pivotField numFmtId="4" showAll="0"/>
    <pivotField numFmtId="4" showAll="0"/>
    <pivotField numFmtId="4" showAll="0"/>
    <pivotField numFmtId="4" showAll="0"/>
    <pivotField numFmtId="4" showAll="0"/>
    <pivotField showAll="0"/>
    <pivotField dataField="1" numFmtId="4" showAll="0"/>
    <pivotField numFmtId="4" showAll="0"/>
    <pivotField showAll="0">
      <items count="15">
        <item x="0"/>
        <item x="1"/>
        <item x="2"/>
        <item x="3"/>
        <item x="4"/>
        <item x="5"/>
        <item x="6"/>
        <item x="7"/>
        <item x="8"/>
        <item x="9"/>
        <item x="10"/>
        <item x="11"/>
        <item x="12"/>
        <item x="13"/>
        <item t="default"/>
      </items>
    </pivotField>
  </pivotFields>
  <rowFields count="1">
    <field x="0"/>
  </rowFields>
  <rowItems count="3">
    <i>
      <x/>
    </i>
    <i>
      <x v="1"/>
    </i>
    <i t="grand">
      <x/>
    </i>
  </rowItems>
  <colItems count="1">
    <i/>
  </colItems>
  <dataFields count="1">
    <dataField name="Sum of TOTAL" fld="14" baseField="0" baseItem="0" numFmtId="4"/>
  </dataFields>
  <formats count="6">
    <format dxfId="186">
      <pivotArea type="all" dataOnly="0" outline="0" fieldPosition="0"/>
    </format>
    <format dxfId="185">
      <pivotArea outline="0" collapsedLevelsAreSubtotals="1" fieldPosition="0"/>
    </format>
    <format dxfId="184">
      <pivotArea field="0" type="button" dataOnly="0" labelOnly="1" outline="0" axis="axisRow" fieldPosition="0"/>
    </format>
    <format dxfId="183">
      <pivotArea dataOnly="0" labelOnly="1" fieldPosition="0">
        <references count="1">
          <reference field="0" count="0"/>
        </references>
      </pivotArea>
    </format>
    <format dxfId="182">
      <pivotArea dataOnly="0" labelOnly="1" grandRow="1" outline="0" fieldPosition="0"/>
    </format>
    <format dxfId="181">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DF73207-D7F1-4F88-AFA7-B0483E400760}"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17">
    <pivotField showAll="0">
      <items count="3">
        <item x="0"/>
        <item x="1"/>
        <item t="default"/>
      </items>
    </pivotField>
    <pivotField showAll="0">
      <items count="3">
        <item x="1"/>
        <item x="0"/>
        <item t="default"/>
      </items>
    </pivotField>
    <pivotField showAll="0"/>
    <pivotField numFmtId="14" showAll="0">
      <items count="37">
        <item x="0"/>
        <item x="3"/>
        <item x="6"/>
        <item x="9"/>
        <item x="12"/>
        <item x="15"/>
        <item x="18"/>
        <item x="21"/>
        <item x="24"/>
        <item x="1"/>
        <item x="4"/>
        <item x="7"/>
        <item x="10"/>
        <item x="13"/>
        <item x="16"/>
        <item x="19"/>
        <item x="22"/>
        <item x="25"/>
        <item x="2"/>
        <item x="5"/>
        <item x="8"/>
        <item x="11"/>
        <item x="14"/>
        <item x="17"/>
        <item x="20"/>
        <item x="23"/>
        <item x="26"/>
        <item x="27"/>
        <item x="30"/>
        <item x="33"/>
        <item x="28"/>
        <item x="31"/>
        <item x="34"/>
        <item x="29"/>
        <item x="32"/>
        <item x="35"/>
        <item t="default"/>
      </items>
    </pivotField>
    <pivotField numFmtId="10" showAll="0">
      <items count="8">
        <item x="3"/>
        <item x="6"/>
        <item x="2"/>
        <item x="5"/>
        <item x="1"/>
        <item x="0"/>
        <item x="4"/>
        <item t="default"/>
      </items>
    </pivotField>
    <pivotField showAll="0">
      <items count="3">
        <item x="1"/>
        <item x="0"/>
        <item t="default"/>
      </items>
    </pivotField>
    <pivotField showAll="0"/>
    <pivotField showAll="0"/>
    <pivotField numFmtId="4" showAll="0"/>
    <pivotField numFmtId="4" showAll="0"/>
    <pivotField numFmtId="4" showAll="0"/>
    <pivotField numFmtId="4" showAll="0"/>
    <pivotField numFmtId="4" showAll="0"/>
    <pivotField showAll="0"/>
    <pivotField dataField="1" numFmtId="4" showAll="0"/>
    <pivotField numFmtId="4" showAll="0"/>
    <pivotField name="PT_Month" axis="axisRow" showAll="0">
      <items count="15">
        <item x="0"/>
        <item x="1"/>
        <item x="2"/>
        <item x="3"/>
        <item x="4"/>
        <item x="5"/>
        <item x="6"/>
        <item x="7"/>
        <item x="8"/>
        <item x="9"/>
        <item x="10"/>
        <item x="11"/>
        <item x="12"/>
        <item x="13"/>
        <item t="default"/>
      </items>
    </pivotField>
  </pivotFields>
  <rowFields count="1">
    <field x="16"/>
  </rowFields>
  <rowItems count="5">
    <i>
      <x v="4"/>
    </i>
    <i>
      <x v="5"/>
    </i>
    <i>
      <x v="6"/>
    </i>
    <i>
      <x v="7"/>
    </i>
    <i t="grand">
      <x/>
    </i>
  </rowItems>
  <colItems count="1">
    <i/>
  </colItems>
  <dataFields count="1">
    <dataField name="Sum of TOTAL" fld="14" baseField="0" baseItem="0" numFmtId="4"/>
  </dataFields>
  <formats count="6">
    <format dxfId="180">
      <pivotArea type="all" dataOnly="0" outline="0" fieldPosition="0"/>
    </format>
    <format dxfId="179">
      <pivotArea outline="0" collapsedLevelsAreSubtotals="1" fieldPosition="0"/>
    </format>
    <format dxfId="178">
      <pivotArea field="16" type="button" dataOnly="0" labelOnly="1" outline="0" axis="axisRow" fieldPosition="0"/>
    </format>
    <format dxfId="177">
      <pivotArea dataOnly="0" labelOnly="1" fieldPosition="0">
        <references count="1">
          <reference field="16" count="4">
            <x v="4"/>
            <x v="5"/>
            <x v="6"/>
            <x v="7"/>
          </reference>
        </references>
      </pivotArea>
    </format>
    <format dxfId="176">
      <pivotArea dataOnly="0" labelOnly="1" grandRow="1" outline="0" fieldPosition="0"/>
    </format>
    <format dxfId="175">
      <pivotArea dataOnly="0" labelOnly="1" outline="0" axis="axisValues" fieldPosition="0"/>
    </format>
  </formats>
  <chartFormats count="2">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6"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4B7E410-E46F-4652-A53F-8AF836A66DCE}"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E11" firstHeaderRow="0" firstDataRow="1" firstDataCol="1"/>
  <pivotFields count="17">
    <pivotField showAll="0">
      <items count="3">
        <item x="0"/>
        <item x="1"/>
        <item t="default"/>
      </items>
    </pivotField>
    <pivotField showAll="0">
      <items count="3">
        <item x="1"/>
        <item x="0"/>
        <item t="default"/>
      </items>
    </pivotField>
    <pivotField showAll="0"/>
    <pivotField numFmtId="14" showAll="0">
      <items count="37">
        <item x="0"/>
        <item x="3"/>
        <item x="6"/>
        <item x="9"/>
        <item x="12"/>
        <item x="15"/>
        <item x="18"/>
        <item x="21"/>
        <item x="24"/>
        <item x="1"/>
        <item x="4"/>
        <item x="7"/>
        <item x="10"/>
        <item x="13"/>
        <item x="16"/>
        <item x="19"/>
        <item x="22"/>
        <item x="25"/>
        <item x="2"/>
        <item x="5"/>
        <item x="8"/>
        <item x="11"/>
        <item x="14"/>
        <item x="17"/>
        <item x="20"/>
        <item x="23"/>
        <item x="26"/>
        <item x="27"/>
        <item x="30"/>
        <item x="33"/>
        <item x="28"/>
        <item x="31"/>
        <item x="34"/>
        <item x="29"/>
        <item x="32"/>
        <item x="35"/>
        <item t="default"/>
      </items>
    </pivotField>
    <pivotField name="PT_Tax" axis="axisRow" numFmtId="10" showAll="0">
      <items count="8">
        <item x="3"/>
        <item x="6"/>
        <item x="2"/>
        <item x="5"/>
        <item x="1"/>
        <item x="0"/>
        <item x="4"/>
        <item t="default"/>
      </items>
    </pivotField>
    <pivotField showAll="0">
      <items count="3">
        <item x="1"/>
        <item x="0"/>
        <item t="default"/>
      </items>
    </pivotField>
    <pivotField showAll="0"/>
    <pivotField showAll="0"/>
    <pivotField numFmtId="4" showAll="0"/>
    <pivotField numFmtId="4" showAll="0"/>
    <pivotField dataField="1" numFmtId="4" showAll="0"/>
    <pivotField dataField="1" numFmtId="4" showAll="0"/>
    <pivotField dataField="1" numFmtId="4" showAll="0"/>
    <pivotField showAll="0"/>
    <pivotField dataField="1" numFmtId="4" showAll="0"/>
    <pivotField numFmtId="4" showAll="0"/>
    <pivotField showAll="0" defaultSubtotal="0">
      <items count="14">
        <item x="0"/>
        <item x="1"/>
        <item x="2"/>
        <item x="3"/>
        <item x="4"/>
        <item x="5"/>
        <item x="6"/>
        <item x="7"/>
        <item x="8"/>
        <item x="9"/>
        <item x="10"/>
        <item x="11"/>
        <item x="12"/>
        <item x="13"/>
      </items>
    </pivotField>
  </pivotFields>
  <rowFields count="1">
    <field x="4"/>
  </rowFields>
  <rowItems count="8">
    <i>
      <x/>
    </i>
    <i>
      <x v="1"/>
    </i>
    <i>
      <x v="2"/>
    </i>
    <i>
      <x v="3"/>
    </i>
    <i>
      <x v="4"/>
    </i>
    <i>
      <x v="5"/>
    </i>
    <i>
      <x v="6"/>
    </i>
    <i t="grand">
      <x/>
    </i>
  </rowItems>
  <colFields count="1">
    <field x="-2"/>
  </colFields>
  <colItems count="4">
    <i>
      <x/>
    </i>
    <i i="1">
      <x v="1"/>
    </i>
    <i i="2">
      <x v="2"/>
    </i>
    <i i="3">
      <x v="3"/>
    </i>
  </colItems>
  <dataFields count="4">
    <dataField name="Sum of IGST" fld="10" baseField="0" baseItem="0" numFmtId="4"/>
    <dataField name="Sum of CGST" fld="11" baseField="0" baseItem="0" numFmtId="4"/>
    <dataField name="Sum of SGST" fld="12" baseField="0" baseItem="0" numFmtId="4"/>
    <dataField name="Sum of TOTAL" fld="14" baseField="0" baseItem="0" numFmtId="4"/>
  </dataFields>
  <chartFormats count="4">
    <chartFormat chart="4" format="8"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1"/>
          </reference>
        </references>
      </pivotArea>
    </chartFormat>
    <chartFormat chart="4" format="10" series="1">
      <pivotArea type="data" outline="0" fieldPosition="0">
        <references count="1">
          <reference field="4294967294" count="1" selected="0">
            <x v="2"/>
          </reference>
        </references>
      </pivotArea>
    </chartFormat>
    <chartFormat chart="4"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AFD35B4-7113-43C3-92F8-DAC27C60A52F}"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6" firstHeaderRow="1" firstDataRow="1" firstDataCol="1"/>
  <pivotFields count="17">
    <pivotField showAll="0">
      <items count="3">
        <item x="0"/>
        <item x="1"/>
        <item t="default"/>
      </items>
    </pivotField>
    <pivotField showAll="0">
      <items count="3">
        <item x="1"/>
        <item x="0"/>
        <item t="default"/>
      </items>
    </pivotField>
    <pivotField showAll="0"/>
    <pivotField numFmtId="14" showAll="0">
      <items count="37">
        <item x="0"/>
        <item x="3"/>
        <item x="6"/>
        <item x="9"/>
        <item x="12"/>
        <item x="15"/>
        <item x="18"/>
        <item x="21"/>
        <item x="24"/>
        <item x="1"/>
        <item x="4"/>
        <item x="7"/>
        <item x="10"/>
        <item x="13"/>
        <item x="16"/>
        <item x="19"/>
        <item x="22"/>
        <item x="25"/>
        <item x="2"/>
        <item x="5"/>
        <item x="8"/>
        <item x="11"/>
        <item x="14"/>
        <item x="17"/>
        <item x="20"/>
        <item x="23"/>
        <item x="26"/>
        <item x="27"/>
        <item x="30"/>
        <item x="33"/>
        <item x="28"/>
        <item x="31"/>
        <item x="34"/>
        <item x="29"/>
        <item x="32"/>
        <item x="35"/>
        <item t="default"/>
      </items>
    </pivotField>
    <pivotField numFmtId="10" showAll="0">
      <items count="8">
        <item x="3"/>
        <item x="6"/>
        <item x="2"/>
        <item x="5"/>
        <item x="1"/>
        <item x="0"/>
        <item x="4"/>
        <item t="default"/>
      </items>
    </pivotField>
    <pivotField name="PT_Product" axis="axisRow" showAll="0">
      <items count="3">
        <item x="1"/>
        <item x="0"/>
        <item t="default"/>
      </items>
    </pivotField>
    <pivotField showAll="0"/>
    <pivotField showAll="0"/>
    <pivotField numFmtId="4" showAll="0"/>
    <pivotField numFmtId="4" showAll="0"/>
    <pivotField numFmtId="4" showAll="0"/>
    <pivotField numFmtId="4" showAll="0"/>
    <pivotField numFmtId="4" showAll="0"/>
    <pivotField showAll="0"/>
    <pivotField dataField="1" numFmtId="4" showAll="0"/>
    <pivotField numFmtId="4" showAll="0"/>
    <pivotField showAll="0" defaultSubtotal="0">
      <items count="14">
        <item x="0"/>
        <item x="1"/>
        <item x="2"/>
        <item x="3"/>
        <item x="4"/>
        <item x="5"/>
        <item x="6"/>
        <item x="7"/>
        <item x="8"/>
        <item x="9"/>
        <item x="10"/>
        <item x="11"/>
        <item x="12"/>
        <item x="13"/>
      </items>
    </pivotField>
  </pivotFields>
  <rowFields count="1">
    <field x="5"/>
  </rowFields>
  <rowItems count="3">
    <i>
      <x/>
    </i>
    <i>
      <x v="1"/>
    </i>
    <i t="grand">
      <x/>
    </i>
  </rowItems>
  <colItems count="1">
    <i/>
  </colItems>
  <dataFields count="1">
    <dataField name="Sum of TOTAL" fld="14" baseField="0" baseItem="0" numFmtId="4"/>
  </dataFields>
  <chartFormats count="3">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5" count="1" selected="0">
            <x v="0"/>
          </reference>
        </references>
      </pivotArea>
    </chartFormat>
    <chartFormat chart="3"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4373E03-B387-4493-8C88-0F75F46A6221}"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6" firstHeaderRow="1" firstDataRow="1" firstDataCol="1"/>
  <pivotFields count="17">
    <pivotField showAll="0">
      <items count="3">
        <item x="0"/>
        <item x="1"/>
        <item t="default"/>
      </items>
    </pivotField>
    <pivotField name="PT_State" axis="axisRow" showAll="0">
      <items count="3">
        <item x="1"/>
        <item x="0"/>
        <item t="default"/>
      </items>
    </pivotField>
    <pivotField showAll="0"/>
    <pivotField numFmtId="14" showAll="0">
      <items count="37">
        <item x="0"/>
        <item x="3"/>
        <item x="6"/>
        <item x="9"/>
        <item x="12"/>
        <item x="15"/>
        <item x="18"/>
        <item x="21"/>
        <item x="24"/>
        <item x="1"/>
        <item x="4"/>
        <item x="7"/>
        <item x="10"/>
        <item x="13"/>
        <item x="16"/>
        <item x="19"/>
        <item x="22"/>
        <item x="25"/>
        <item x="2"/>
        <item x="5"/>
        <item x="8"/>
        <item x="11"/>
        <item x="14"/>
        <item x="17"/>
        <item x="20"/>
        <item x="23"/>
        <item x="26"/>
        <item x="27"/>
        <item x="30"/>
        <item x="33"/>
        <item x="28"/>
        <item x="31"/>
        <item x="34"/>
        <item x="29"/>
        <item x="32"/>
        <item x="35"/>
        <item t="default"/>
      </items>
    </pivotField>
    <pivotField numFmtId="10" showAll="0">
      <items count="8">
        <item x="3"/>
        <item x="6"/>
        <item x="2"/>
        <item x="5"/>
        <item x="1"/>
        <item x="0"/>
        <item x="4"/>
        <item t="default"/>
      </items>
    </pivotField>
    <pivotField showAll="0">
      <items count="3">
        <item x="1"/>
        <item x="0"/>
        <item t="default"/>
      </items>
    </pivotField>
    <pivotField showAll="0"/>
    <pivotField showAll="0"/>
    <pivotField numFmtId="4" showAll="0"/>
    <pivotField numFmtId="4" showAll="0"/>
    <pivotField numFmtId="4" showAll="0"/>
    <pivotField numFmtId="4" showAll="0"/>
    <pivotField numFmtId="4" showAll="0"/>
    <pivotField showAll="0"/>
    <pivotField dataField="1" numFmtId="4" showAll="0"/>
    <pivotField numFmtId="4" showAll="0"/>
    <pivotField showAll="0" defaultSubtotal="0">
      <items count="14">
        <item x="0"/>
        <item x="1"/>
        <item x="2"/>
        <item x="3"/>
        <item x="4"/>
        <item x="5"/>
        <item x="6"/>
        <item x="7"/>
        <item x="8"/>
        <item x="9"/>
        <item x="10"/>
        <item x="11"/>
        <item x="12"/>
        <item x="13"/>
      </items>
    </pivotField>
  </pivotFields>
  <rowFields count="1">
    <field x="1"/>
  </rowFields>
  <rowItems count="3">
    <i>
      <x/>
    </i>
    <i>
      <x v="1"/>
    </i>
    <i t="grand">
      <x/>
    </i>
  </rowItems>
  <colItems count="1">
    <i/>
  </colItems>
  <dataFields count="1">
    <dataField name="Sum of TOTAL" fld="14" baseField="0" baseItem="0" numFmtId="4"/>
  </dataFields>
  <chartFormats count="3">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 count="1" selected="0">
            <x v="0"/>
          </reference>
        </references>
      </pivotArea>
    </chartFormat>
    <chartFormat chart="3" format="8">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irm_Name" xr10:uid="{F9E131D5-4720-432C-B694-0B13C0B68265}" sourceName="Firm Name ">
  <pivotTables>
    <pivotTable tabId="11" name="PivotTable4"/>
    <pivotTable tabId="8" name="PivotTable1"/>
    <pivotTable tabId="9" name="PivotTable2"/>
    <pivotTable tabId="12" name="PivotTable5"/>
    <pivotTable tabId="10" name="PivotTable3"/>
  </pivotTables>
  <data>
    <tabular pivotCacheId="1779145630">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1845087C-1E21-48D6-91AD-6E76301CC11E}" sourceName="State">
  <pivotTables>
    <pivotTable tabId="11" name="PivotTable4"/>
    <pivotTable tabId="8" name="PivotTable1"/>
    <pivotTable tabId="9" name="PivotTable2"/>
    <pivotTable tabId="12" name="PivotTable5"/>
    <pivotTable tabId="10" name="PivotTable3"/>
  </pivotTables>
  <data>
    <tabular pivotCacheId="1779145630">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ax_Rate" xr10:uid="{AFFAF4A9-131C-4007-AC01-8B8B2E7F9F42}" sourceName="Tax Rate">
  <pivotTables>
    <pivotTable tabId="11" name="PivotTable4"/>
    <pivotTable tabId="8" name="PivotTable1"/>
    <pivotTable tabId="9" name="PivotTable2"/>
    <pivotTable tabId="12" name="PivotTable5"/>
    <pivotTable tabId="10" name="PivotTable3"/>
  </pivotTables>
  <data>
    <tabular pivotCacheId="1779145630">
      <items count="7">
        <i x="3" s="1"/>
        <i x="6" s="1"/>
        <i x="2" s="1"/>
        <i x="5" s="1"/>
        <i x="1" s="1"/>
        <i x="0"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scription_of_Goods" xr10:uid="{421EBD15-FDAB-44C3-AB64-6D23BB19FFA6}" sourceName="Description of Goods">
  <pivotTables>
    <pivotTable tabId="11" name="PivotTable4"/>
    <pivotTable tabId="8" name="PivotTable1"/>
    <pivotTable tabId="9" name="PivotTable2"/>
    <pivotTable tabId="12" name="PivotTable5"/>
    <pivotTable tabId="10" name="PivotTable3"/>
  </pivotTables>
  <data>
    <tabular pivotCacheId="1779145630">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B0D50AEC-DC6E-4A98-BD60-34C97910FBDE}" sourceName="Months (Date)">
  <pivotTables>
    <pivotTable tabId="9" name="PivotTable2"/>
    <pivotTable tabId="8" name="PivotTable1"/>
    <pivotTable tabId="11" name="PivotTable4"/>
    <pivotTable tabId="12" name="PivotTable5"/>
    <pivotTable tabId="10" name="PivotTable3"/>
  </pivotTables>
  <data>
    <tabular pivotCacheId="1779145630">
      <items count="14">
        <i x="4" s="1"/>
        <i x="5" s="1"/>
        <i x="6" s="1"/>
        <i x="7" s="1"/>
        <i x="1" s="1" nd="1"/>
        <i x="2" s="1" nd="1"/>
        <i x="3" s="1" nd="1"/>
        <i x="8" s="1" nd="1"/>
        <i x="9" s="1" nd="1"/>
        <i x="10" s="1" nd="1"/>
        <i x="11" s="1" nd="1"/>
        <i x="12" s="1" nd="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irm Name " xr10:uid="{3B9077F4-3BD8-4A4C-B55E-4516E6C4F97F}" cache="Slicer_Firm_Name" caption="Firm Name " rowHeight="241300"/>
  <slicer name="State" xr10:uid="{81FBD4F9-2706-4926-B6BF-C53421E4B0E7}" cache="Slicer_State" caption="State" rowHeight="241300"/>
  <slicer name="Tax Rate" xr10:uid="{D48E073E-15F9-4338-A2E6-3895EEA9454C}" cache="Slicer_Tax_Rate" caption="Gst Tax" rowHeight="241300"/>
  <slicer name="PT_Product" xr10:uid="{ED0A2CBC-5B15-467E-8EB2-92635C297FAB}" cache="Slicer_Description_of_Goods" caption="Product" rowHeight="241300"/>
  <slicer name="PT_Month" xr10:uid="{F221FE79-A5BA-4CD0-9D4F-62253C81725E}" cache="Slicer_Months__Date" caption="Month"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3:B6"/>
  <sheetViews>
    <sheetView workbookViewId="0">
      <selection activeCell="H10" sqref="H10"/>
    </sheetView>
  </sheetViews>
  <sheetFormatPr defaultRowHeight="15" x14ac:dyDescent="0.25"/>
  <cols>
    <col min="1" max="1" width="12.5703125" bestFit="1" customWidth="1"/>
    <col min="2" max="2" width="12.85546875" bestFit="1" customWidth="1"/>
  </cols>
  <sheetData>
    <row r="3" spans="1:2" x14ac:dyDescent="0.25">
      <c r="A3" s="1" t="s">
        <v>24</v>
      </c>
      <c r="B3" t="s">
        <v>26</v>
      </c>
    </row>
    <row r="4" spans="1:2" x14ac:dyDescent="0.25">
      <c r="A4" s="2" t="s">
        <v>16</v>
      </c>
      <c r="B4">
        <v>410376.47000000003</v>
      </c>
    </row>
    <row r="5" spans="1:2" x14ac:dyDescent="0.25">
      <c r="A5" s="2" t="s">
        <v>22</v>
      </c>
      <c r="B5">
        <v>459587.38999999996</v>
      </c>
    </row>
    <row r="6" spans="1:2" x14ac:dyDescent="0.25">
      <c r="A6" s="2" t="s">
        <v>25</v>
      </c>
      <c r="B6">
        <v>869963.86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3:B8"/>
  <sheetViews>
    <sheetView workbookViewId="0">
      <selection activeCell="M9" sqref="M9"/>
    </sheetView>
  </sheetViews>
  <sheetFormatPr defaultRowHeight="15" x14ac:dyDescent="0.25"/>
  <cols>
    <col min="1" max="1" width="12.5703125" bestFit="1" customWidth="1"/>
    <col min="2" max="2" width="12.85546875" bestFit="1" customWidth="1"/>
  </cols>
  <sheetData>
    <row r="3" spans="1:2" x14ac:dyDescent="0.25">
      <c r="A3" s="1" t="s">
        <v>24</v>
      </c>
      <c r="B3" t="s">
        <v>26</v>
      </c>
    </row>
    <row r="4" spans="1:2" x14ac:dyDescent="0.25">
      <c r="A4" s="3" t="s">
        <v>27</v>
      </c>
      <c r="B4">
        <v>21004</v>
      </c>
    </row>
    <row r="5" spans="1:2" x14ac:dyDescent="0.25">
      <c r="A5" s="3" t="s">
        <v>28</v>
      </c>
      <c r="B5">
        <v>229752.43999999997</v>
      </c>
    </row>
    <row r="6" spans="1:2" x14ac:dyDescent="0.25">
      <c r="A6" s="3" t="s">
        <v>29</v>
      </c>
      <c r="B6">
        <v>389805.09</v>
      </c>
    </row>
    <row r="7" spans="1:2" x14ac:dyDescent="0.25">
      <c r="A7" s="3" t="s">
        <v>30</v>
      </c>
      <c r="B7">
        <v>229402.33</v>
      </c>
    </row>
    <row r="8" spans="1:2" x14ac:dyDescent="0.25">
      <c r="A8" s="3" t="s">
        <v>25</v>
      </c>
      <c r="B8">
        <v>869963.86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3:F11"/>
  <sheetViews>
    <sheetView workbookViewId="0">
      <selection activeCell="H25" sqref="H25"/>
    </sheetView>
  </sheetViews>
  <sheetFormatPr defaultRowHeight="15" x14ac:dyDescent="0.25"/>
  <cols>
    <col min="1" max="1" width="12.5703125" bestFit="1" customWidth="1"/>
    <col min="2" max="2" width="11.28515625" bestFit="1" customWidth="1"/>
    <col min="3" max="4" width="11.7109375" bestFit="1" customWidth="1"/>
    <col min="5" max="6" width="12.85546875" bestFit="1" customWidth="1"/>
  </cols>
  <sheetData>
    <row r="3" spans="1:6" x14ac:dyDescent="0.25">
      <c r="A3" s="1" t="s">
        <v>24</v>
      </c>
      <c r="B3" t="s">
        <v>31</v>
      </c>
      <c r="C3" t="s">
        <v>32</v>
      </c>
      <c r="D3" t="s">
        <v>33</v>
      </c>
      <c r="E3" t="s">
        <v>34</v>
      </c>
      <c r="F3" t="s">
        <v>26</v>
      </c>
    </row>
    <row r="4" spans="1:6" x14ac:dyDescent="0.25">
      <c r="A4" s="4">
        <v>0</v>
      </c>
      <c r="B4">
        <v>0</v>
      </c>
      <c r="C4">
        <v>0</v>
      </c>
      <c r="D4">
        <v>0</v>
      </c>
      <c r="F4">
        <v>84740</v>
      </c>
    </row>
    <row r="5" spans="1:6" x14ac:dyDescent="0.25">
      <c r="A5" s="4">
        <v>1E-3</v>
      </c>
      <c r="B5">
        <v>0</v>
      </c>
      <c r="C5">
        <v>46.83</v>
      </c>
      <c r="D5">
        <v>46.83</v>
      </c>
      <c r="F5">
        <v>93753.659999999989</v>
      </c>
    </row>
    <row r="6" spans="1:6" x14ac:dyDescent="0.25">
      <c r="A6" s="4">
        <v>0.03</v>
      </c>
      <c r="B6">
        <v>1505.25</v>
      </c>
      <c r="C6">
        <v>1087.125</v>
      </c>
      <c r="D6">
        <v>1087.125</v>
      </c>
      <c r="F6">
        <v>126329.5</v>
      </c>
    </row>
    <row r="7" spans="1:6" x14ac:dyDescent="0.25">
      <c r="A7" s="4">
        <v>0.05</v>
      </c>
      <c r="B7">
        <v>1393.75</v>
      </c>
      <c r="C7">
        <v>2871.125</v>
      </c>
      <c r="D7">
        <v>2871.125</v>
      </c>
      <c r="F7">
        <v>149856</v>
      </c>
    </row>
    <row r="8" spans="1:6" x14ac:dyDescent="0.25">
      <c r="A8" s="4">
        <v>0.12</v>
      </c>
      <c r="B8">
        <v>0</v>
      </c>
      <c r="C8">
        <v>7559.4</v>
      </c>
      <c r="D8">
        <v>7559.4</v>
      </c>
      <c r="F8">
        <v>141108.79999999999</v>
      </c>
    </row>
    <row r="9" spans="1:6" x14ac:dyDescent="0.25">
      <c r="A9" s="4">
        <v>0.18</v>
      </c>
      <c r="B9">
        <v>8429.4</v>
      </c>
      <c r="C9">
        <v>3307.95</v>
      </c>
      <c r="D9">
        <v>3307.95</v>
      </c>
      <c r="F9">
        <v>98630.3</v>
      </c>
    </row>
    <row r="10" spans="1:6" x14ac:dyDescent="0.25">
      <c r="A10" s="4">
        <v>0.28000000000000003</v>
      </c>
      <c r="B10">
        <v>0</v>
      </c>
      <c r="C10">
        <v>19200.300000000003</v>
      </c>
      <c r="D10">
        <v>19200.300000000003</v>
      </c>
      <c r="F10">
        <v>175545.59999999998</v>
      </c>
    </row>
    <row r="11" spans="1:6" x14ac:dyDescent="0.25">
      <c r="A11" s="4" t="s">
        <v>25</v>
      </c>
      <c r="B11">
        <v>11328.4</v>
      </c>
      <c r="C11">
        <v>34072.730000000003</v>
      </c>
      <c r="D11">
        <v>34072.730000000003</v>
      </c>
      <c r="F11">
        <v>869963.8600000001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3:B6"/>
  <sheetViews>
    <sheetView workbookViewId="0">
      <selection activeCell="J9" sqref="J9"/>
    </sheetView>
  </sheetViews>
  <sheetFormatPr defaultRowHeight="15" x14ac:dyDescent="0.25"/>
  <cols>
    <col min="1" max="1" width="12.5703125" bestFit="1" customWidth="1"/>
    <col min="2" max="2" width="12.85546875" bestFit="1" customWidth="1"/>
  </cols>
  <sheetData>
    <row r="3" spans="1:2" x14ac:dyDescent="0.25">
      <c r="A3" s="1" t="s">
        <v>24</v>
      </c>
      <c r="B3" t="s">
        <v>26</v>
      </c>
    </row>
    <row r="4" spans="1:2" x14ac:dyDescent="0.25">
      <c r="A4" s="2" t="s">
        <v>20</v>
      </c>
      <c r="B4">
        <v>427057.24</v>
      </c>
    </row>
    <row r="5" spans="1:2" x14ac:dyDescent="0.25">
      <c r="A5" s="2" t="s">
        <v>18</v>
      </c>
      <c r="B5">
        <v>442906.61999999994</v>
      </c>
    </row>
    <row r="6" spans="1:2" x14ac:dyDescent="0.25">
      <c r="A6" s="2" t="s">
        <v>25</v>
      </c>
      <c r="B6">
        <v>869963.85999999987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EC5EB3-7F15-479A-95C5-E7C045FCC8FF}">
  <dimension ref="A3:B6"/>
  <sheetViews>
    <sheetView workbookViewId="0">
      <selection activeCell="I16" sqref="I16"/>
    </sheetView>
  </sheetViews>
  <sheetFormatPr defaultRowHeight="15" x14ac:dyDescent="0.25"/>
  <cols>
    <col min="1" max="1" width="16.42578125" bestFit="1" customWidth="1"/>
    <col min="2" max="2" width="17" bestFit="1" customWidth="1"/>
  </cols>
  <sheetData>
    <row r="3" spans="1:2" ht="18.75" x14ac:dyDescent="0.3">
      <c r="A3" s="38" t="s">
        <v>24</v>
      </c>
      <c r="B3" s="39" t="s">
        <v>26</v>
      </c>
    </row>
    <row r="4" spans="1:2" ht="18.75" x14ac:dyDescent="0.3">
      <c r="A4" s="40" t="s">
        <v>16</v>
      </c>
      <c r="B4" s="41">
        <v>410376.47000000003</v>
      </c>
    </row>
    <row r="5" spans="1:2" ht="18.75" x14ac:dyDescent="0.3">
      <c r="A5" s="40" t="s">
        <v>22</v>
      </c>
      <c r="B5" s="41">
        <v>459587.38999999996</v>
      </c>
    </row>
    <row r="6" spans="1:2" ht="18.75" x14ac:dyDescent="0.3">
      <c r="A6" s="40" t="s">
        <v>25</v>
      </c>
      <c r="B6" s="41">
        <v>869963.86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C27A6D-E65E-4AFF-9A76-6E2AAA09B3C9}">
  <dimension ref="A3:B8"/>
  <sheetViews>
    <sheetView topLeftCell="A2" workbookViewId="0">
      <selection activeCell="A4" sqref="A4:B7"/>
      <pivotSelection pane="bottomRight" showHeader="1" extendable="1" max="5" activeRow="3" click="1" r:id="rId1">
        <pivotArea dataOnly="0" axis="axisRow" fieldPosition="0">
          <references count="1">
            <reference field="16" count="4">
              <x v="4"/>
              <x v="5"/>
              <x v="6"/>
              <x v="7"/>
            </reference>
          </references>
        </pivotArea>
      </pivotSelection>
    </sheetView>
  </sheetViews>
  <sheetFormatPr defaultRowHeight="15" x14ac:dyDescent="0.25"/>
  <cols>
    <col min="1" max="1" width="16.42578125" bestFit="1" customWidth="1"/>
    <col min="2" max="2" width="17" bestFit="1" customWidth="1"/>
  </cols>
  <sheetData>
    <row r="3" spans="1:2" ht="18.75" x14ac:dyDescent="0.3">
      <c r="A3" s="38" t="s">
        <v>24</v>
      </c>
      <c r="B3" s="39" t="s">
        <v>26</v>
      </c>
    </row>
    <row r="4" spans="1:2" ht="18.75" x14ac:dyDescent="0.3">
      <c r="A4" s="40" t="s">
        <v>27</v>
      </c>
      <c r="B4" s="41">
        <v>21004</v>
      </c>
    </row>
    <row r="5" spans="1:2" ht="18.75" x14ac:dyDescent="0.3">
      <c r="A5" s="40" t="s">
        <v>28</v>
      </c>
      <c r="B5" s="41">
        <v>229752.43999999997</v>
      </c>
    </row>
    <row r="6" spans="1:2" ht="18.75" x14ac:dyDescent="0.3">
      <c r="A6" s="40" t="s">
        <v>29</v>
      </c>
      <c r="B6" s="41">
        <v>389805.09</v>
      </c>
    </row>
    <row r="7" spans="1:2" ht="18.75" x14ac:dyDescent="0.3">
      <c r="A7" s="40" t="s">
        <v>30</v>
      </c>
      <c r="B7" s="41">
        <v>229402.33</v>
      </c>
    </row>
    <row r="8" spans="1:2" ht="18.75" x14ac:dyDescent="0.3">
      <c r="A8" s="40" t="s">
        <v>25</v>
      </c>
      <c r="B8" s="41">
        <v>869963.86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7B8B00-CB18-4727-A84E-2965BAFDDBC1}">
  <dimension ref="A3:E11"/>
  <sheetViews>
    <sheetView workbookViewId="0">
      <selection activeCell="D14" sqref="D14"/>
    </sheetView>
  </sheetViews>
  <sheetFormatPr defaultRowHeight="15" x14ac:dyDescent="0.25"/>
  <cols>
    <col min="1" max="1" width="13.140625" bestFit="1" customWidth="1"/>
    <col min="2" max="2" width="11.5703125" bestFit="1" customWidth="1"/>
    <col min="3" max="3" width="12.140625" bestFit="1" customWidth="1"/>
    <col min="4" max="4" width="12" bestFit="1" customWidth="1"/>
    <col min="5" max="5" width="13.28515625" bestFit="1" customWidth="1"/>
  </cols>
  <sheetData>
    <row r="3" spans="1:5" x14ac:dyDescent="0.25">
      <c r="A3" s="1" t="s">
        <v>24</v>
      </c>
      <c r="B3" t="s">
        <v>31</v>
      </c>
      <c r="C3" t="s">
        <v>32</v>
      </c>
      <c r="D3" t="s">
        <v>33</v>
      </c>
      <c r="E3" t="s">
        <v>26</v>
      </c>
    </row>
    <row r="4" spans="1:5" x14ac:dyDescent="0.25">
      <c r="A4" s="4">
        <v>0</v>
      </c>
      <c r="B4" s="37">
        <v>0</v>
      </c>
      <c r="C4" s="37">
        <v>0</v>
      </c>
      <c r="D4" s="37">
        <v>0</v>
      </c>
      <c r="E4" s="37">
        <v>84740</v>
      </c>
    </row>
    <row r="5" spans="1:5" x14ac:dyDescent="0.25">
      <c r="A5" s="4">
        <v>1E-3</v>
      </c>
      <c r="B5" s="37">
        <v>0</v>
      </c>
      <c r="C5" s="37">
        <v>46.83</v>
      </c>
      <c r="D5" s="37">
        <v>46.83</v>
      </c>
      <c r="E5" s="37">
        <v>93753.659999999989</v>
      </c>
    </row>
    <row r="6" spans="1:5" x14ac:dyDescent="0.25">
      <c r="A6" s="4">
        <v>0.03</v>
      </c>
      <c r="B6" s="37">
        <v>1505.25</v>
      </c>
      <c r="C6" s="37">
        <v>1087.125</v>
      </c>
      <c r="D6" s="37">
        <v>1087.125</v>
      </c>
      <c r="E6" s="37">
        <v>126329.5</v>
      </c>
    </row>
    <row r="7" spans="1:5" x14ac:dyDescent="0.25">
      <c r="A7" s="4">
        <v>0.05</v>
      </c>
      <c r="B7" s="37">
        <v>1393.75</v>
      </c>
      <c r="C7" s="37">
        <v>2871.125</v>
      </c>
      <c r="D7" s="37">
        <v>2871.125</v>
      </c>
      <c r="E7" s="37">
        <v>149856</v>
      </c>
    </row>
    <row r="8" spans="1:5" x14ac:dyDescent="0.25">
      <c r="A8" s="4">
        <v>0.12</v>
      </c>
      <c r="B8" s="37">
        <v>0</v>
      </c>
      <c r="C8" s="37">
        <v>7559.4</v>
      </c>
      <c r="D8" s="37">
        <v>7559.4</v>
      </c>
      <c r="E8" s="37">
        <v>141108.79999999999</v>
      </c>
    </row>
    <row r="9" spans="1:5" x14ac:dyDescent="0.25">
      <c r="A9" s="4">
        <v>0.18</v>
      </c>
      <c r="B9" s="37">
        <v>8429.4</v>
      </c>
      <c r="C9" s="37">
        <v>3307.95</v>
      </c>
      <c r="D9" s="37">
        <v>3307.95</v>
      </c>
      <c r="E9" s="37">
        <v>98630.3</v>
      </c>
    </row>
    <row r="10" spans="1:5" x14ac:dyDescent="0.25">
      <c r="A10" s="4">
        <v>0.28000000000000003</v>
      </c>
      <c r="B10" s="37">
        <v>0</v>
      </c>
      <c r="C10" s="37">
        <v>19200.300000000003</v>
      </c>
      <c r="D10" s="37">
        <v>19200.300000000003</v>
      </c>
      <c r="E10" s="37">
        <v>175545.59999999998</v>
      </c>
    </row>
    <row r="11" spans="1:5" x14ac:dyDescent="0.25">
      <c r="A11" s="4" t="s">
        <v>25</v>
      </c>
      <c r="B11" s="37">
        <v>11328.4</v>
      </c>
      <c r="C11" s="37">
        <v>34072.730000000003</v>
      </c>
      <c r="D11" s="37">
        <v>34072.730000000003</v>
      </c>
      <c r="E11" s="37">
        <v>869963.86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F67CD-F0C4-4872-9B92-0A6E73623BF5}">
  <dimension ref="A3:B6"/>
  <sheetViews>
    <sheetView workbookViewId="0">
      <selection activeCell="B4" sqref="B4"/>
    </sheetView>
  </sheetViews>
  <sheetFormatPr defaultRowHeight="15" x14ac:dyDescent="0.25"/>
  <cols>
    <col min="1" max="1" width="13.7109375" bestFit="1" customWidth="1"/>
    <col min="2" max="2" width="13.28515625" bestFit="1" customWidth="1"/>
  </cols>
  <sheetData>
    <row r="3" spans="1:2" x14ac:dyDescent="0.25">
      <c r="A3" s="1" t="s">
        <v>24</v>
      </c>
      <c r="B3" t="s">
        <v>26</v>
      </c>
    </row>
    <row r="4" spans="1:2" x14ac:dyDescent="0.25">
      <c r="A4" s="2" t="s">
        <v>20</v>
      </c>
      <c r="B4" s="37">
        <v>427057.24</v>
      </c>
    </row>
    <row r="5" spans="1:2" x14ac:dyDescent="0.25">
      <c r="A5" s="2" t="s">
        <v>18</v>
      </c>
      <c r="B5" s="37">
        <v>442906.61999999994</v>
      </c>
    </row>
    <row r="6" spans="1:2" x14ac:dyDescent="0.25">
      <c r="A6" s="2" t="s">
        <v>25</v>
      </c>
      <c r="B6" s="37">
        <v>869963.85999999987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62D173-2294-43DD-A2C4-E1E8A56C75E8}">
  <dimension ref="A3:B6"/>
  <sheetViews>
    <sheetView workbookViewId="0">
      <selection activeCell="B4" sqref="B4"/>
    </sheetView>
  </sheetViews>
  <sheetFormatPr defaultRowHeight="15" x14ac:dyDescent="0.25"/>
  <cols>
    <col min="1" max="1" width="13.140625" bestFit="1" customWidth="1"/>
    <col min="2" max="2" width="13.28515625" bestFit="1" customWidth="1"/>
  </cols>
  <sheetData>
    <row r="3" spans="1:2" x14ac:dyDescent="0.25">
      <c r="A3" s="1" t="s">
        <v>24</v>
      </c>
      <c r="B3" t="s">
        <v>26</v>
      </c>
    </row>
    <row r="4" spans="1:2" x14ac:dyDescent="0.25">
      <c r="A4" s="2" t="s">
        <v>21</v>
      </c>
      <c r="B4" s="37">
        <v>139553.4</v>
      </c>
    </row>
    <row r="5" spans="1:2" x14ac:dyDescent="0.25">
      <c r="A5" s="2" t="s">
        <v>17</v>
      </c>
      <c r="B5" s="37">
        <v>730410.46</v>
      </c>
    </row>
    <row r="6" spans="1:2" x14ac:dyDescent="0.25">
      <c r="A6" s="2" t="s">
        <v>25</v>
      </c>
      <c r="B6" s="37">
        <v>869963.86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62512-D6A8-46E7-A305-15FFD8749B2C}">
  <dimension ref="A1:W36"/>
  <sheetViews>
    <sheetView tabSelected="1" topLeftCell="A3" zoomScale="90" zoomScaleNormal="90" workbookViewId="0">
      <selection activeCell="V23" sqref="V23"/>
    </sheetView>
  </sheetViews>
  <sheetFormatPr defaultRowHeight="15" x14ac:dyDescent="0.25"/>
  <sheetData>
    <row r="1" spans="1:23" x14ac:dyDescent="0.25">
      <c r="A1" s="42"/>
      <c r="B1" s="42"/>
      <c r="C1" s="42"/>
      <c r="D1" s="42"/>
      <c r="E1" s="42"/>
      <c r="F1" s="42"/>
      <c r="G1" s="42"/>
      <c r="H1" s="42"/>
      <c r="I1" s="42"/>
      <c r="J1" s="42"/>
      <c r="K1" s="42"/>
      <c r="L1" s="42"/>
      <c r="M1" s="42"/>
      <c r="N1" s="42"/>
      <c r="O1" s="42"/>
      <c r="P1" s="42"/>
      <c r="Q1" s="42"/>
      <c r="R1" s="42"/>
      <c r="S1" s="42"/>
      <c r="T1" s="42"/>
      <c r="U1" s="43"/>
      <c r="V1" s="43"/>
      <c r="W1" s="43"/>
    </row>
    <row r="2" spans="1:23" x14ac:dyDescent="0.25">
      <c r="A2" s="42"/>
      <c r="B2" s="42"/>
      <c r="C2" s="42"/>
      <c r="D2" s="42"/>
      <c r="E2" s="42"/>
      <c r="F2" s="42"/>
      <c r="G2" s="42"/>
      <c r="H2" s="42"/>
      <c r="I2" s="42"/>
      <c r="J2" s="42"/>
      <c r="K2" s="42"/>
      <c r="L2" s="42"/>
      <c r="M2" s="42"/>
      <c r="N2" s="42"/>
      <c r="O2" s="42"/>
      <c r="P2" s="42"/>
      <c r="Q2" s="42"/>
      <c r="R2" s="42"/>
      <c r="S2" s="42"/>
      <c r="T2" s="42"/>
      <c r="U2" s="43"/>
      <c r="V2" s="43"/>
      <c r="W2" s="43"/>
    </row>
    <row r="3" spans="1:23" x14ac:dyDescent="0.25">
      <c r="A3" s="42"/>
      <c r="B3" s="42"/>
      <c r="C3" s="42"/>
      <c r="D3" s="42"/>
      <c r="E3" s="42"/>
      <c r="F3" s="42"/>
      <c r="G3" s="42"/>
      <c r="H3" s="42"/>
      <c r="I3" s="42"/>
      <c r="J3" s="42"/>
      <c r="K3" s="42"/>
      <c r="L3" s="42"/>
      <c r="M3" s="42"/>
      <c r="N3" s="42"/>
      <c r="O3" s="42"/>
      <c r="P3" s="42"/>
      <c r="Q3" s="42"/>
      <c r="R3" s="42"/>
      <c r="S3" s="42"/>
      <c r="T3" s="42"/>
      <c r="U3" s="43"/>
      <c r="V3" s="43"/>
      <c r="W3" s="43"/>
    </row>
    <row r="4" spans="1:23" x14ac:dyDescent="0.25">
      <c r="A4" s="42"/>
      <c r="B4" s="42"/>
      <c r="C4" s="42"/>
      <c r="D4" s="42"/>
      <c r="E4" s="42"/>
      <c r="F4" s="42"/>
      <c r="G4" s="42"/>
      <c r="H4" s="42"/>
      <c r="I4" s="42"/>
      <c r="J4" s="42"/>
      <c r="K4" s="42"/>
      <c r="L4" s="42"/>
      <c r="M4" s="42"/>
      <c r="N4" s="42"/>
      <c r="O4" s="42"/>
      <c r="P4" s="42"/>
      <c r="Q4" s="42"/>
      <c r="R4" s="42"/>
      <c r="S4" s="42"/>
      <c r="T4" s="42"/>
      <c r="U4" s="43"/>
      <c r="V4" s="43"/>
      <c r="W4" s="43"/>
    </row>
    <row r="5" spans="1:23" x14ac:dyDescent="0.25">
      <c r="A5" s="42"/>
      <c r="B5" s="42"/>
      <c r="C5" s="42"/>
      <c r="D5" s="42"/>
      <c r="E5" s="42"/>
      <c r="F5" s="42"/>
      <c r="G5" s="42"/>
      <c r="H5" s="42"/>
      <c r="I5" s="42"/>
      <c r="J5" s="42"/>
      <c r="K5" s="42"/>
      <c r="L5" s="42"/>
      <c r="M5" s="42"/>
      <c r="N5" s="42"/>
      <c r="O5" s="42"/>
      <c r="P5" s="42"/>
      <c r="Q5" s="42"/>
      <c r="R5" s="42"/>
      <c r="S5" s="42"/>
      <c r="T5" s="42"/>
      <c r="U5" s="43"/>
      <c r="V5" s="43"/>
      <c r="W5" s="43"/>
    </row>
    <row r="6" spans="1:23" x14ac:dyDescent="0.25">
      <c r="A6" s="42"/>
      <c r="B6" s="42"/>
      <c r="C6" s="42"/>
      <c r="D6" s="42"/>
      <c r="E6" s="42"/>
      <c r="F6" s="42"/>
      <c r="G6" s="42"/>
      <c r="H6" s="42"/>
      <c r="I6" s="42"/>
      <c r="J6" s="42"/>
      <c r="K6" s="42"/>
      <c r="L6" s="42"/>
      <c r="M6" s="42"/>
      <c r="N6" s="42"/>
      <c r="O6" s="42"/>
      <c r="P6" s="42"/>
      <c r="Q6" s="42"/>
      <c r="R6" s="42"/>
      <c r="S6" s="42"/>
      <c r="T6" s="42"/>
      <c r="U6" s="43"/>
      <c r="V6" s="43"/>
      <c r="W6" s="43"/>
    </row>
    <row r="7" spans="1:23" x14ac:dyDescent="0.25">
      <c r="A7" s="42"/>
      <c r="B7" s="42"/>
      <c r="C7" s="42"/>
      <c r="D7" s="42"/>
      <c r="E7" s="42"/>
      <c r="F7" s="42"/>
      <c r="G7" s="42"/>
      <c r="H7" s="42"/>
      <c r="I7" s="42"/>
      <c r="J7" s="42"/>
      <c r="K7" s="42"/>
      <c r="L7" s="42"/>
      <c r="M7" s="42"/>
      <c r="N7" s="42"/>
      <c r="O7" s="42"/>
      <c r="P7" s="42"/>
      <c r="Q7" s="42"/>
      <c r="R7" s="42"/>
      <c r="S7" s="42"/>
      <c r="T7" s="42"/>
      <c r="U7" s="43"/>
      <c r="V7" s="43"/>
      <c r="W7" s="43"/>
    </row>
    <row r="8" spans="1:23" x14ac:dyDescent="0.25">
      <c r="A8" s="42"/>
      <c r="B8" s="42"/>
      <c r="C8" s="42"/>
      <c r="D8" s="42"/>
      <c r="E8" s="42"/>
      <c r="F8" s="42"/>
      <c r="G8" s="42"/>
      <c r="H8" s="42"/>
      <c r="I8" s="42"/>
      <c r="J8" s="42"/>
      <c r="K8" s="42"/>
      <c r="L8" s="42"/>
      <c r="M8" s="42"/>
      <c r="N8" s="42"/>
      <c r="O8" s="42"/>
      <c r="P8" s="42"/>
      <c r="Q8" s="42"/>
      <c r="R8" s="42"/>
      <c r="S8" s="42"/>
      <c r="T8" s="42"/>
      <c r="U8" s="43"/>
      <c r="V8" s="43"/>
      <c r="W8" s="43"/>
    </row>
    <row r="9" spans="1:23" x14ac:dyDescent="0.25">
      <c r="A9" s="43"/>
      <c r="B9" s="43"/>
      <c r="C9" s="43"/>
      <c r="D9" s="43"/>
      <c r="E9" s="43"/>
      <c r="F9" s="43"/>
      <c r="G9" s="43"/>
      <c r="H9" s="43"/>
      <c r="I9" s="43"/>
      <c r="J9" s="43"/>
      <c r="K9" s="43"/>
      <c r="L9" s="43"/>
      <c r="M9" s="43"/>
      <c r="N9" s="43"/>
      <c r="O9" s="43"/>
      <c r="P9" s="43"/>
      <c r="Q9" s="43"/>
      <c r="R9" s="43"/>
      <c r="S9" s="43"/>
      <c r="T9" s="43"/>
      <c r="U9" s="43"/>
      <c r="V9" s="43"/>
      <c r="W9" s="43"/>
    </row>
    <row r="10" spans="1:23" x14ac:dyDescent="0.25">
      <c r="A10" s="43"/>
      <c r="B10" s="43"/>
      <c r="C10" s="43"/>
      <c r="D10" s="43"/>
      <c r="E10" s="43"/>
      <c r="F10" s="43"/>
      <c r="G10" s="43"/>
      <c r="H10" s="43"/>
      <c r="I10" s="43"/>
      <c r="J10" s="43"/>
      <c r="K10" s="43"/>
      <c r="L10" s="43"/>
      <c r="M10" s="43"/>
      <c r="N10" s="43"/>
      <c r="O10" s="43"/>
      <c r="P10" s="43"/>
      <c r="Q10" s="43"/>
      <c r="R10" s="43"/>
      <c r="S10" s="43"/>
      <c r="T10" s="43"/>
      <c r="U10" s="43"/>
      <c r="V10" s="43"/>
      <c r="W10" s="43"/>
    </row>
    <row r="11" spans="1:23" x14ac:dyDescent="0.25">
      <c r="A11" s="43"/>
      <c r="B11" s="43"/>
      <c r="C11" s="43"/>
      <c r="D11" s="43"/>
      <c r="E11" s="43"/>
      <c r="F11" s="43"/>
      <c r="G11" s="43"/>
      <c r="H11" s="43"/>
      <c r="I11" s="43"/>
      <c r="J11" s="43"/>
      <c r="K11" s="43"/>
      <c r="L11" s="43"/>
      <c r="M11" s="43"/>
      <c r="N11" s="43"/>
      <c r="O11" s="43"/>
      <c r="P11" s="43"/>
      <c r="Q11" s="43"/>
      <c r="R11" s="43"/>
      <c r="S11" s="43"/>
      <c r="T11" s="43"/>
      <c r="U11" s="43"/>
      <c r="V11" s="43"/>
      <c r="W11" s="43"/>
    </row>
    <row r="12" spans="1:23" x14ac:dyDescent="0.25">
      <c r="A12" s="43"/>
      <c r="B12" s="43"/>
      <c r="C12" s="43"/>
      <c r="D12" s="43"/>
      <c r="E12" s="43"/>
      <c r="F12" s="43"/>
      <c r="G12" s="43"/>
      <c r="H12" s="43"/>
      <c r="I12" s="43"/>
      <c r="J12" s="43"/>
      <c r="K12" s="43"/>
      <c r="L12" s="43"/>
      <c r="M12" s="43"/>
      <c r="N12" s="43"/>
      <c r="O12" s="43"/>
      <c r="P12" s="43"/>
      <c r="Q12" s="43"/>
      <c r="R12" s="43"/>
      <c r="S12" s="43"/>
      <c r="T12" s="43"/>
      <c r="U12" s="43"/>
      <c r="V12" s="43"/>
      <c r="W12" s="43"/>
    </row>
    <row r="13" spans="1:23" x14ac:dyDescent="0.25">
      <c r="A13" s="43"/>
      <c r="B13" s="43"/>
      <c r="C13" s="43"/>
      <c r="D13" s="43"/>
      <c r="E13" s="43"/>
      <c r="F13" s="43"/>
      <c r="G13" s="43"/>
      <c r="H13" s="43"/>
      <c r="I13" s="43"/>
      <c r="J13" s="43"/>
      <c r="K13" s="43"/>
      <c r="L13" s="43"/>
      <c r="M13" s="43"/>
      <c r="N13" s="43"/>
      <c r="O13" s="43"/>
      <c r="P13" s="43"/>
      <c r="Q13" s="43"/>
      <c r="R13" s="43"/>
      <c r="S13" s="43"/>
      <c r="T13" s="43"/>
      <c r="U13" s="43"/>
      <c r="V13" s="43"/>
      <c r="W13" s="43"/>
    </row>
    <row r="14" spans="1:23" x14ac:dyDescent="0.25">
      <c r="A14" s="43"/>
      <c r="B14" s="43" t="s">
        <v>45</v>
      </c>
      <c r="C14" s="43"/>
      <c r="D14" s="43"/>
      <c r="E14" s="43"/>
      <c r="F14" s="43"/>
      <c r="G14" s="43"/>
      <c r="H14" s="43"/>
      <c r="I14" s="43"/>
      <c r="J14" s="43"/>
      <c r="K14" s="43"/>
      <c r="L14" s="43"/>
      <c r="M14" s="43"/>
      <c r="N14" s="43"/>
      <c r="O14" s="43"/>
      <c r="P14" s="43"/>
      <c r="Q14" s="43"/>
      <c r="R14" s="43"/>
      <c r="S14" s="43"/>
      <c r="T14" s="43"/>
      <c r="U14" s="43"/>
      <c r="V14" s="43"/>
      <c r="W14" s="43"/>
    </row>
    <row r="15" spans="1:23" x14ac:dyDescent="0.25">
      <c r="A15" s="43"/>
      <c r="B15" s="43"/>
      <c r="C15" s="43"/>
      <c r="D15" s="43"/>
      <c r="E15" s="43"/>
      <c r="F15" s="43"/>
      <c r="G15" s="43"/>
      <c r="H15" s="43"/>
      <c r="I15" s="43"/>
      <c r="J15" s="43"/>
      <c r="K15" s="43"/>
      <c r="L15" s="43"/>
      <c r="M15" s="43"/>
      <c r="N15" s="43"/>
      <c r="O15" s="43"/>
      <c r="P15" s="43"/>
      <c r="Q15" s="43"/>
      <c r="R15" s="43"/>
      <c r="S15" s="43"/>
      <c r="T15" s="43"/>
      <c r="U15" s="43"/>
      <c r="V15" s="43"/>
      <c r="W15" s="43"/>
    </row>
    <row r="16" spans="1:23" x14ac:dyDescent="0.25">
      <c r="A16" s="43"/>
      <c r="B16" s="43"/>
      <c r="C16" s="43"/>
      <c r="D16" s="43"/>
      <c r="E16" s="43"/>
      <c r="F16" s="43"/>
      <c r="G16" s="43"/>
      <c r="H16" s="43"/>
      <c r="I16" s="43"/>
      <c r="J16" s="43"/>
      <c r="K16" s="43"/>
      <c r="L16" s="43"/>
      <c r="M16" s="43"/>
      <c r="N16" s="43"/>
      <c r="O16" s="43"/>
      <c r="P16" s="43"/>
      <c r="Q16" s="43"/>
      <c r="R16" s="43"/>
      <c r="S16" s="43"/>
      <c r="T16" s="43"/>
      <c r="U16" s="43"/>
      <c r="V16" s="43"/>
      <c r="W16" s="43"/>
    </row>
    <row r="17" spans="1:23" x14ac:dyDescent="0.25">
      <c r="A17" s="43"/>
      <c r="B17" s="43"/>
      <c r="C17" s="43"/>
      <c r="D17" s="43"/>
      <c r="E17" s="43"/>
      <c r="F17" s="43"/>
      <c r="G17" s="43"/>
      <c r="H17" s="43"/>
      <c r="I17" s="43"/>
      <c r="J17" s="43"/>
      <c r="K17" s="43"/>
      <c r="L17" s="43"/>
      <c r="M17" s="43"/>
      <c r="N17" s="43"/>
      <c r="O17" s="43"/>
      <c r="P17" s="43"/>
      <c r="Q17" s="43"/>
      <c r="R17" s="43"/>
      <c r="S17" s="43"/>
      <c r="T17" s="43"/>
      <c r="U17" s="43"/>
      <c r="V17" s="43"/>
      <c r="W17" s="43"/>
    </row>
    <row r="18" spans="1:23" x14ac:dyDescent="0.25">
      <c r="A18" s="43"/>
      <c r="B18" s="43"/>
      <c r="C18" s="43"/>
      <c r="D18" s="43"/>
      <c r="E18" s="43"/>
      <c r="F18" s="43"/>
      <c r="G18" s="43"/>
      <c r="H18" s="43"/>
      <c r="I18" s="43"/>
      <c r="J18" s="43"/>
      <c r="K18" s="43"/>
      <c r="L18" s="43"/>
      <c r="M18" s="43"/>
      <c r="N18" s="43"/>
      <c r="O18" s="43"/>
      <c r="P18" s="43"/>
      <c r="Q18" s="43"/>
      <c r="R18" s="43"/>
      <c r="S18" s="43"/>
      <c r="T18" s="43"/>
      <c r="U18" s="43"/>
      <c r="V18" s="43"/>
      <c r="W18" s="43"/>
    </row>
    <row r="19" spans="1:23" x14ac:dyDescent="0.25">
      <c r="A19" s="43"/>
      <c r="B19" s="43"/>
      <c r="C19" s="43"/>
      <c r="D19" s="43"/>
      <c r="E19" s="43"/>
      <c r="F19" s="43"/>
      <c r="G19" s="43"/>
      <c r="H19" s="43"/>
      <c r="I19" s="43"/>
      <c r="J19" s="43"/>
      <c r="K19" s="43"/>
      <c r="L19" s="43"/>
      <c r="M19" s="43"/>
      <c r="N19" s="43"/>
      <c r="O19" s="43"/>
      <c r="P19" s="43"/>
      <c r="Q19" s="43"/>
      <c r="R19" s="43"/>
      <c r="S19" s="43"/>
      <c r="T19" s="43"/>
      <c r="U19" s="43"/>
      <c r="V19" s="43"/>
      <c r="W19" s="43"/>
    </row>
    <row r="20" spans="1:23" x14ac:dyDescent="0.25">
      <c r="A20" s="43"/>
      <c r="B20" s="43"/>
      <c r="C20" s="43"/>
      <c r="D20" s="43"/>
      <c r="E20" s="43"/>
      <c r="F20" s="43"/>
      <c r="G20" s="43"/>
      <c r="H20" s="43"/>
      <c r="I20" s="43"/>
      <c r="J20" s="43"/>
      <c r="K20" s="43"/>
      <c r="L20" s="43"/>
      <c r="M20" s="43"/>
      <c r="N20" s="43"/>
      <c r="O20" s="43"/>
      <c r="P20" s="43"/>
      <c r="Q20" s="43"/>
      <c r="R20" s="43"/>
      <c r="S20" s="43"/>
      <c r="T20" s="43"/>
      <c r="U20" s="43"/>
      <c r="V20" s="43"/>
      <c r="W20" s="43"/>
    </row>
    <row r="21" spans="1:23" x14ac:dyDescent="0.25">
      <c r="A21" s="43"/>
      <c r="B21" s="43"/>
      <c r="C21" s="43"/>
      <c r="D21" s="43"/>
      <c r="E21" s="43"/>
      <c r="F21" s="43"/>
      <c r="G21" s="43"/>
      <c r="H21" s="43"/>
      <c r="I21" s="43"/>
      <c r="J21" s="43"/>
      <c r="K21" s="43"/>
      <c r="L21" s="43"/>
      <c r="M21" s="43"/>
      <c r="N21" s="43"/>
      <c r="O21" s="43"/>
      <c r="P21" s="43"/>
      <c r="Q21" s="43"/>
      <c r="R21" s="43"/>
      <c r="S21" s="43"/>
      <c r="T21" s="43"/>
      <c r="U21" s="43"/>
      <c r="V21" s="43"/>
      <c r="W21" s="43"/>
    </row>
    <row r="22" spans="1:23" x14ac:dyDescent="0.25">
      <c r="A22" s="43"/>
      <c r="B22" s="43"/>
      <c r="C22" s="43"/>
      <c r="D22" s="43"/>
      <c r="E22" s="43"/>
      <c r="F22" s="43"/>
      <c r="G22" s="43"/>
      <c r="H22" s="43"/>
      <c r="I22" s="43"/>
      <c r="J22" s="43"/>
      <c r="K22" s="43"/>
      <c r="L22" s="43"/>
      <c r="M22" s="43"/>
      <c r="N22" s="43"/>
      <c r="O22" s="43"/>
      <c r="P22" s="43"/>
      <c r="Q22" s="43"/>
      <c r="R22" s="43"/>
      <c r="S22" s="43"/>
      <c r="T22" s="43"/>
      <c r="U22" s="43"/>
      <c r="V22" s="43"/>
      <c r="W22" s="43"/>
    </row>
    <row r="23" spans="1:23" x14ac:dyDescent="0.25">
      <c r="A23" s="43"/>
      <c r="B23" s="43"/>
      <c r="C23" s="43"/>
      <c r="D23" s="43"/>
      <c r="E23" s="43"/>
      <c r="F23" s="43"/>
      <c r="G23" s="43"/>
      <c r="H23" s="43"/>
      <c r="I23" s="43"/>
      <c r="J23" s="43"/>
      <c r="K23" s="43"/>
      <c r="L23" s="43"/>
      <c r="M23" s="43"/>
      <c r="N23" s="43"/>
      <c r="O23" s="43"/>
      <c r="P23" s="43"/>
      <c r="Q23" s="43"/>
      <c r="R23" s="43"/>
      <c r="S23" s="43"/>
      <c r="T23" s="43"/>
      <c r="U23" s="43"/>
      <c r="V23" s="43"/>
      <c r="W23" s="43"/>
    </row>
    <row r="24" spans="1:23" x14ac:dyDescent="0.25">
      <c r="A24" s="43"/>
      <c r="B24" s="43"/>
      <c r="C24" s="43"/>
      <c r="D24" s="43"/>
      <c r="E24" s="43"/>
      <c r="F24" s="43"/>
      <c r="G24" s="43"/>
      <c r="H24" s="43"/>
      <c r="I24" s="43"/>
      <c r="J24" s="43"/>
      <c r="K24" s="43"/>
      <c r="L24" s="43"/>
      <c r="M24" s="43"/>
      <c r="N24" s="43"/>
      <c r="O24" s="43"/>
      <c r="P24" s="43"/>
      <c r="Q24" s="43"/>
      <c r="R24" s="43"/>
      <c r="S24" s="43"/>
      <c r="T24" s="43"/>
      <c r="U24" s="43"/>
      <c r="V24" s="43"/>
      <c r="W24" s="43"/>
    </row>
    <row r="25" spans="1:23" x14ac:dyDescent="0.25">
      <c r="A25" s="43"/>
      <c r="B25" s="43"/>
      <c r="C25" s="43"/>
      <c r="D25" s="43"/>
      <c r="E25" s="43"/>
      <c r="F25" s="43"/>
      <c r="G25" s="43"/>
      <c r="H25" s="43"/>
      <c r="I25" s="43"/>
      <c r="J25" s="43"/>
      <c r="K25" s="43"/>
      <c r="L25" s="43"/>
      <c r="M25" s="43"/>
      <c r="N25" s="43"/>
      <c r="O25" s="43"/>
      <c r="P25" s="43"/>
      <c r="Q25" s="43"/>
      <c r="R25" s="43"/>
      <c r="S25" s="43"/>
      <c r="T25" s="43"/>
      <c r="U25" s="43"/>
      <c r="V25" s="43"/>
      <c r="W25" s="43"/>
    </row>
    <row r="26" spans="1:23" x14ac:dyDescent="0.25">
      <c r="A26" s="43"/>
      <c r="B26" s="43"/>
      <c r="C26" s="43"/>
      <c r="D26" s="43"/>
      <c r="E26" s="43"/>
      <c r="F26" s="43"/>
      <c r="G26" s="43"/>
      <c r="H26" s="43"/>
      <c r="I26" s="43"/>
      <c r="J26" s="43"/>
      <c r="K26" s="43"/>
      <c r="L26" s="43"/>
      <c r="M26" s="43"/>
      <c r="N26" s="43"/>
      <c r="O26" s="43"/>
      <c r="P26" s="43"/>
      <c r="Q26" s="43"/>
      <c r="R26" s="43"/>
      <c r="S26" s="43"/>
      <c r="T26" s="43"/>
      <c r="U26" s="43"/>
      <c r="V26" s="43"/>
      <c r="W26" s="43"/>
    </row>
    <row r="27" spans="1:23" x14ac:dyDescent="0.25">
      <c r="A27" s="43"/>
      <c r="B27" s="43"/>
      <c r="C27" s="43"/>
      <c r="D27" s="43"/>
      <c r="E27" s="43"/>
      <c r="F27" s="43"/>
      <c r="G27" s="43"/>
      <c r="H27" s="43"/>
      <c r="I27" s="43"/>
      <c r="J27" s="43"/>
      <c r="K27" s="43"/>
      <c r="L27" s="43"/>
      <c r="M27" s="43"/>
      <c r="N27" s="43"/>
      <c r="O27" s="43"/>
      <c r="P27" s="43"/>
      <c r="Q27" s="43"/>
      <c r="R27" s="43"/>
      <c r="S27" s="43"/>
      <c r="T27" s="43"/>
      <c r="U27" s="43"/>
      <c r="V27" s="43"/>
      <c r="W27" s="43"/>
    </row>
    <row r="28" spans="1:23" x14ac:dyDescent="0.25">
      <c r="A28" s="43"/>
      <c r="B28" s="43"/>
      <c r="C28" s="43"/>
      <c r="D28" s="43"/>
      <c r="E28" s="43"/>
      <c r="F28" s="43"/>
      <c r="G28" s="43"/>
      <c r="H28" s="43"/>
      <c r="I28" s="43"/>
      <c r="J28" s="43"/>
      <c r="K28" s="43"/>
      <c r="L28" s="43"/>
      <c r="M28" s="43"/>
      <c r="N28" s="43"/>
      <c r="O28" s="43"/>
      <c r="P28" s="43"/>
      <c r="Q28" s="43"/>
      <c r="R28" s="43"/>
      <c r="S28" s="43"/>
      <c r="T28" s="43"/>
      <c r="U28" s="43"/>
      <c r="V28" s="43"/>
      <c r="W28" s="43"/>
    </row>
    <row r="29" spans="1:23" x14ac:dyDescent="0.25">
      <c r="A29" s="43"/>
      <c r="B29" s="43"/>
      <c r="C29" s="43"/>
      <c r="D29" s="43"/>
      <c r="E29" s="43"/>
      <c r="F29" s="43"/>
      <c r="G29" s="43"/>
      <c r="H29" s="43"/>
      <c r="I29" s="43"/>
      <c r="J29" s="43"/>
      <c r="K29" s="43"/>
      <c r="L29" s="43"/>
      <c r="M29" s="43"/>
      <c r="N29" s="43"/>
      <c r="O29" s="43"/>
      <c r="P29" s="43"/>
      <c r="Q29" s="43"/>
      <c r="R29" s="43"/>
      <c r="S29" s="43"/>
      <c r="T29" s="43"/>
      <c r="U29" s="43"/>
      <c r="V29" s="43"/>
      <c r="W29" s="43"/>
    </row>
    <row r="30" spans="1:23" x14ac:dyDescent="0.25">
      <c r="A30" s="43"/>
      <c r="B30" s="43"/>
      <c r="C30" s="43"/>
      <c r="D30" s="43"/>
      <c r="E30" s="43"/>
      <c r="F30" s="43"/>
      <c r="G30" s="43"/>
      <c r="H30" s="43"/>
      <c r="I30" s="43"/>
      <c r="J30" s="43"/>
      <c r="K30" s="43"/>
      <c r="L30" s="43"/>
      <c r="M30" s="43"/>
      <c r="N30" s="43"/>
      <c r="O30" s="43"/>
      <c r="P30" s="43"/>
      <c r="Q30" s="43"/>
      <c r="R30" s="43"/>
      <c r="S30" s="43"/>
      <c r="T30" s="43"/>
      <c r="U30" s="43"/>
      <c r="V30" s="43"/>
      <c r="W30" s="43"/>
    </row>
    <row r="31" spans="1:23" x14ac:dyDescent="0.25">
      <c r="A31" s="43"/>
      <c r="B31" s="43"/>
      <c r="C31" s="43"/>
      <c r="D31" s="43"/>
      <c r="E31" s="43"/>
      <c r="F31" s="43"/>
      <c r="G31" s="43"/>
      <c r="H31" s="43"/>
      <c r="I31" s="43"/>
      <c r="J31" s="43"/>
      <c r="K31" s="43"/>
      <c r="L31" s="43"/>
      <c r="M31" s="43"/>
      <c r="N31" s="43"/>
      <c r="O31" s="43"/>
      <c r="P31" s="43"/>
      <c r="Q31" s="43"/>
      <c r="R31" s="43"/>
      <c r="S31" s="43"/>
      <c r="T31" s="43"/>
      <c r="U31" s="43"/>
      <c r="V31" s="43"/>
      <c r="W31" s="43"/>
    </row>
    <row r="32" spans="1:23" x14ac:dyDescent="0.25">
      <c r="A32" s="43"/>
      <c r="B32" s="43"/>
      <c r="C32" s="43"/>
      <c r="D32" s="43"/>
      <c r="E32" s="43"/>
      <c r="F32" s="43"/>
      <c r="G32" s="43"/>
      <c r="H32" s="43"/>
      <c r="I32" s="43"/>
      <c r="J32" s="43"/>
      <c r="K32" s="43"/>
      <c r="L32" s="43"/>
      <c r="M32" s="43"/>
      <c r="N32" s="43"/>
      <c r="O32" s="43"/>
      <c r="P32" s="43"/>
      <c r="Q32" s="43"/>
      <c r="R32" s="43"/>
      <c r="S32" s="43"/>
      <c r="T32" s="43"/>
      <c r="U32" s="43"/>
      <c r="V32" s="43"/>
      <c r="W32" s="43"/>
    </row>
    <row r="33" spans="1:23" x14ac:dyDescent="0.25">
      <c r="A33" s="43"/>
      <c r="B33" s="43"/>
      <c r="C33" s="43"/>
      <c r="D33" s="43"/>
      <c r="E33" s="43"/>
      <c r="F33" s="43"/>
      <c r="G33" s="43"/>
      <c r="H33" s="43"/>
      <c r="I33" s="43"/>
      <c r="J33" s="43"/>
      <c r="K33" s="43"/>
      <c r="L33" s="43"/>
      <c r="M33" s="43"/>
      <c r="N33" s="43"/>
      <c r="O33" s="43"/>
      <c r="P33" s="43"/>
      <c r="Q33" s="43"/>
      <c r="R33" s="43"/>
      <c r="S33" s="43"/>
      <c r="T33" s="43"/>
      <c r="U33" s="43"/>
      <c r="V33" s="43"/>
      <c r="W33" s="43"/>
    </row>
    <row r="34" spans="1:23" x14ac:dyDescent="0.25">
      <c r="A34" s="43"/>
      <c r="B34" s="43"/>
      <c r="C34" s="43"/>
      <c r="D34" s="43"/>
      <c r="E34" s="43"/>
      <c r="F34" s="43"/>
      <c r="G34" s="43"/>
      <c r="H34" s="43"/>
      <c r="I34" s="43"/>
      <c r="J34" s="43"/>
      <c r="K34" s="43"/>
      <c r="L34" s="43"/>
      <c r="M34" s="43"/>
      <c r="N34" s="43"/>
      <c r="O34" s="43"/>
      <c r="P34" s="43"/>
      <c r="Q34" s="43"/>
      <c r="R34" s="43"/>
      <c r="S34" s="43"/>
      <c r="T34" s="43"/>
      <c r="U34" s="43"/>
      <c r="V34" s="43"/>
      <c r="W34" s="43"/>
    </row>
    <row r="35" spans="1:23" x14ac:dyDescent="0.25">
      <c r="A35" s="43"/>
      <c r="B35" s="43"/>
      <c r="C35" s="43"/>
      <c r="D35" s="43"/>
      <c r="E35" s="43"/>
      <c r="F35" s="43"/>
      <c r="G35" s="43"/>
      <c r="H35" s="43"/>
      <c r="I35" s="43"/>
      <c r="J35" s="43"/>
      <c r="K35" s="43"/>
      <c r="L35" s="43"/>
      <c r="M35" s="43"/>
      <c r="N35" s="43"/>
      <c r="O35" s="43"/>
      <c r="P35" s="43"/>
      <c r="Q35" s="43"/>
      <c r="R35" s="43"/>
      <c r="S35" s="43"/>
      <c r="T35" s="43"/>
      <c r="U35" s="43"/>
      <c r="V35" s="43"/>
      <c r="W35" s="43"/>
    </row>
    <row r="36" spans="1:23" x14ac:dyDescent="0.25">
      <c r="A36" s="43"/>
      <c r="B36" s="43"/>
      <c r="C36" s="43"/>
      <c r="D36" s="43"/>
      <c r="E36" s="43"/>
      <c r="F36" s="43"/>
      <c r="G36" s="43"/>
      <c r="H36" s="43"/>
      <c r="I36" s="43"/>
      <c r="J36" s="43"/>
      <c r="K36" s="43"/>
      <c r="L36" s="43"/>
      <c r="M36" s="43"/>
      <c r="N36" s="43"/>
      <c r="O36" s="43"/>
      <c r="P36" s="43"/>
      <c r="Q36" s="43"/>
      <c r="R36" s="43"/>
      <c r="S36" s="43"/>
      <c r="T36" s="43"/>
      <c r="U36" s="43"/>
      <c r="V36" s="43"/>
      <c r="W36" s="4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P37"/>
  <sheetViews>
    <sheetView zoomScale="85" zoomScaleNormal="85" workbookViewId="0">
      <selection activeCell="C9" sqref="C9"/>
    </sheetView>
  </sheetViews>
  <sheetFormatPr defaultRowHeight="15" x14ac:dyDescent="0.25"/>
  <cols>
    <col min="1" max="1" width="16.28515625" customWidth="1"/>
    <col min="2" max="2" width="12.85546875" bestFit="1" customWidth="1"/>
    <col min="3" max="3" width="16.140625" customWidth="1"/>
    <col min="4" max="4" width="13.85546875" customWidth="1"/>
    <col min="5" max="5" width="13" customWidth="1"/>
    <col min="6" max="6" width="27.28515625" customWidth="1"/>
    <col min="7" max="7" width="8.42578125" customWidth="1"/>
    <col min="8" max="8" width="8.5703125" customWidth="1"/>
    <col min="9" max="9" width="10.85546875" customWidth="1"/>
    <col min="10" max="10" width="19" customWidth="1"/>
    <col min="11" max="11" width="9.5703125" bestFit="1" customWidth="1"/>
    <col min="12" max="12" width="10.42578125" customWidth="1"/>
    <col min="13" max="13" width="10.5703125" customWidth="1"/>
    <col min="14" max="14" width="8.5703125" customWidth="1"/>
    <col min="15" max="15" width="12.5703125" customWidth="1"/>
    <col min="16" max="16" width="20.5703125" customWidth="1"/>
  </cols>
  <sheetData>
    <row r="1" spans="1:16" ht="18.75" x14ac:dyDescent="0.25">
      <c r="A1" s="6" t="s">
        <v>0</v>
      </c>
      <c r="B1" s="6" t="s">
        <v>1</v>
      </c>
      <c r="C1" s="6" t="s">
        <v>2</v>
      </c>
      <c r="D1" s="6" t="s">
        <v>3</v>
      </c>
      <c r="E1" s="7" t="s">
        <v>4</v>
      </c>
      <c r="F1" s="7" t="s">
        <v>5</v>
      </c>
      <c r="G1" s="7" t="s">
        <v>6</v>
      </c>
      <c r="H1" s="7" t="s">
        <v>7</v>
      </c>
      <c r="I1" s="7" t="s">
        <v>8</v>
      </c>
      <c r="J1" s="8" t="s">
        <v>9</v>
      </c>
      <c r="K1" s="8" t="s">
        <v>10</v>
      </c>
      <c r="L1" s="8" t="s">
        <v>11</v>
      </c>
      <c r="M1" s="8" t="s">
        <v>12</v>
      </c>
      <c r="N1" s="8" t="s">
        <v>13</v>
      </c>
      <c r="O1" s="8" t="s">
        <v>14</v>
      </c>
      <c r="P1" s="9" t="s">
        <v>15</v>
      </c>
    </row>
    <row r="2" spans="1:16" ht="15.75" x14ac:dyDescent="0.25">
      <c r="A2" s="10" t="s">
        <v>16</v>
      </c>
      <c r="B2" s="10" t="s">
        <v>17</v>
      </c>
      <c r="C2" s="10">
        <v>23</v>
      </c>
      <c r="D2" s="11">
        <v>43922</v>
      </c>
      <c r="E2" s="12">
        <v>0.18</v>
      </c>
      <c r="F2" s="10" t="s">
        <v>18</v>
      </c>
      <c r="G2" s="10">
        <v>8</v>
      </c>
      <c r="H2" s="12" t="s">
        <v>19</v>
      </c>
      <c r="I2" s="13">
        <v>2225</v>
      </c>
      <c r="J2" s="14">
        <v>17800</v>
      </c>
      <c r="K2" s="15">
        <v>0</v>
      </c>
      <c r="L2" s="15">
        <v>1602</v>
      </c>
      <c r="M2" s="15">
        <v>1602</v>
      </c>
      <c r="N2" s="15"/>
      <c r="O2" s="15">
        <v>21004</v>
      </c>
      <c r="P2" s="16">
        <v>21004</v>
      </c>
    </row>
    <row r="3" spans="1:16" ht="15.75" x14ac:dyDescent="0.25">
      <c r="A3" s="17" t="s">
        <v>16</v>
      </c>
      <c r="B3" s="17" t="s">
        <v>17</v>
      </c>
      <c r="C3" s="17">
        <v>24</v>
      </c>
      <c r="D3" s="18">
        <v>43986</v>
      </c>
      <c r="E3" s="19">
        <v>0.12</v>
      </c>
      <c r="F3" s="17" t="s">
        <v>20</v>
      </c>
      <c r="G3" s="17">
        <v>2</v>
      </c>
      <c r="H3" s="19" t="s">
        <v>19</v>
      </c>
      <c r="I3" s="20">
        <v>1670</v>
      </c>
      <c r="J3" s="21">
        <v>3340</v>
      </c>
      <c r="K3" s="22">
        <v>0</v>
      </c>
      <c r="L3" s="22">
        <v>200.4</v>
      </c>
      <c r="M3" s="22">
        <v>200.4</v>
      </c>
      <c r="N3" s="22"/>
      <c r="O3" s="22">
        <v>3740.8</v>
      </c>
      <c r="P3" s="23">
        <v>3740.8</v>
      </c>
    </row>
    <row r="4" spans="1:16" ht="15.75" x14ac:dyDescent="0.25">
      <c r="A4" s="10" t="s">
        <v>16</v>
      </c>
      <c r="B4" s="10" t="s">
        <v>17</v>
      </c>
      <c r="C4" s="10">
        <v>25</v>
      </c>
      <c r="D4" s="11">
        <v>44016</v>
      </c>
      <c r="E4" s="12">
        <v>0.03</v>
      </c>
      <c r="F4" s="10" t="s">
        <v>18</v>
      </c>
      <c r="G4" s="10">
        <v>10</v>
      </c>
      <c r="H4" s="12" t="s">
        <v>19</v>
      </c>
      <c r="I4" s="13">
        <v>1115</v>
      </c>
      <c r="J4" s="14">
        <v>11150</v>
      </c>
      <c r="K4" s="15">
        <v>0</v>
      </c>
      <c r="L4" s="15">
        <v>167.25</v>
      </c>
      <c r="M4" s="15">
        <v>167.25</v>
      </c>
      <c r="N4" s="15"/>
      <c r="O4" s="15">
        <v>11484.5</v>
      </c>
      <c r="P4" s="16">
        <v>11484.5</v>
      </c>
    </row>
    <row r="5" spans="1:16" ht="15.75" x14ac:dyDescent="0.25">
      <c r="A5" s="17" t="s">
        <v>16</v>
      </c>
      <c r="B5" s="17" t="s">
        <v>21</v>
      </c>
      <c r="C5" s="17">
        <v>26</v>
      </c>
      <c r="D5" s="18">
        <v>43956</v>
      </c>
      <c r="E5" s="19">
        <v>0</v>
      </c>
      <c r="F5" s="17" t="s">
        <v>20</v>
      </c>
      <c r="G5" s="17">
        <v>3</v>
      </c>
      <c r="H5" s="19" t="s">
        <v>19</v>
      </c>
      <c r="I5" s="20">
        <v>1115</v>
      </c>
      <c r="J5" s="21">
        <v>3345</v>
      </c>
      <c r="K5" s="22">
        <v>0</v>
      </c>
      <c r="L5" s="22">
        <v>0</v>
      </c>
      <c r="M5" s="22">
        <v>0</v>
      </c>
      <c r="N5" s="22"/>
      <c r="O5" s="22">
        <v>3345</v>
      </c>
      <c r="P5" s="23">
        <v>3345</v>
      </c>
    </row>
    <row r="6" spans="1:16" ht="15.75" x14ac:dyDescent="0.25">
      <c r="A6" s="10" t="s">
        <v>16</v>
      </c>
      <c r="B6" s="10" t="s">
        <v>17</v>
      </c>
      <c r="C6" s="10">
        <v>27</v>
      </c>
      <c r="D6" s="11">
        <v>43987</v>
      </c>
      <c r="E6" s="12">
        <v>0.28000000000000003</v>
      </c>
      <c r="F6" s="10" t="s">
        <v>18</v>
      </c>
      <c r="G6" s="10">
        <v>4</v>
      </c>
      <c r="H6" s="12" t="s">
        <v>19</v>
      </c>
      <c r="I6" s="13">
        <v>1115</v>
      </c>
      <c r="J6" s="14">
        <v>4460</v>
      </c>
      <c r="K6" s="15">
        <v>0</v>
      </c>
      <c r="L6" s="15">
        <v>624.40000000000009</v>
      </c>
      <c r="M6" s="15">
        <v>624.40000000000009</v>
      </c>
      <c r="N6" s="15"/>
      <c r="O6" s="15">
        <v>5708.7999999999993</v>
      </c>
      <c r="P6" s="16">
        <v>5708.7999999999993</v>
      </c>
    </row>
    <row r="7" spans="1:16" ht="15.75" x14ac:dyDescent="0.25">
      <c r="A7" s="17" t="s">
        <v>16</v>
      </c>
      <c r="B7" s="17" t="s">
        <v>17</v>
      </c>
      <c r="C7" s="17">
        <v>28</v>
      </c>
      <c r="D7" s="18">
        <v>44017</v>
      </c>
      <c r="E7" s="19">
        <v>0.05</v>
      </c>
      <c r="F7" s="17" t="s">
        <v>20</v>
      </c>
      <c r="G7" s="17">
        <v>24</v>
      </c>
      <c r="H7" s="19" t="s">
        <v>19</v>
      </c>
      <c r="I7" s="20">
        <v>1115</v>
      </c>
      <c r="J7" s="21">
        <v>26760</v>
      </c>
      <c r="K7" s="22">
        <v>0</v>
      </c>
      <c r="L7" s="22">
        <v>669</v>
      </c>
      <c r="M7" s="22">
        <v>669</v>
      </c>
      <c r="N7" s="22"/>
      <c r="O7" s="22">
        <v>28098</v>
      </c>
      <c r="P7" s="23">
        <v>28098</v>
      </c>
    </row>
    <row r="8" spans="1:16" ht="15.75" x14ac:dyDescent="0.25">
      <c r="A8" s="10" t="s">
        <v>16</v>
      </c>
      <c r="B8" s="10" t="s">
        <v>17</v>
      </c>
      <c r="C8" s="10">
        <v>29</v>
      </c>
      <c r="D8" s="11">
        <v>43957</v>
      </c>
      <c r="E8" s="12">
        <v>1E-3</v>
      </c>
      <c r="F8" s="10" t="s">
        <v>18</v>
      </c>
      <c r="G8" s="10">
        <v>30</v>
      </c>
      <c r="H8" s="12" t="s">
        <v>19</v>
      </c>
      <c r="I8" s="13">
        <v>1115</v>
      </c>
      <c r="J8" s="14">
        <v>33450</v>
      </c>
      <c r="K8" s="15">
        <v>0</v>
      </c>
      <c r="L8" s="15">
        <v>16.725000000000001</v>
      </c>
      <c r="M8" s="15">
        <v>16.725000000000001</v>
      </c>
      <c r="N8" s="15"/>
      <c r="O8" s="15">
        <v>33483.449999999997</v>
      </c>
      <c r="P8" s="16">
        <v>33483.449999999997</v>
      </c>
    </row>
    <row r="9" spans="1:16" ht="15.75" x14ac:dyDescent="0.25">
      <c r="A9" s="17" t="s">
        <v>16</v>
      </c>
      <c r="B9" s="17" t="s">
        <v>17</v>
      </c>
      <c r="C9" s="17">
        <v>30</v>
      </c>
      <c r="D9" s="18">
        <v>43988</v>
      </c>
      <c r="E9" s="19">
        <v>0.03</v>
      </c>
      <c r="F9" s="17" t="s">
        <v>20</v>
      </c>
      <c r="G9" s="17">
        <v>12</v>
      </c>
      <c r="H9" s="19" t="s">
        <v>19</v>
      </c>
      <c r="I9" s="20">
        <v>1115</v>
      </c>
      <c r="J9" s="21">
        <v>13380</v>
      </c>
      <c r="K9" s="22">
        <v>0</v>
      </c>
      <c r="L9" s="22">
        <v>200.7</v>
      </c>
      <c r="M9" s="22">
        <v>200.7</v>
      </c>
      <c r="N9" s="22"/>
      <c r="O9" s="22">
        <v>13781.400000000001</v>
      </c>
      <c r="P9" s="23">
        <v>13781.400000000001</v>
      </c>
    </row>
    <row r="10" spans="1:16" ht="15.75" x14ac:dyDescent="0.25">
      <c r="A10" s="10" t="s">
        <v>22</v>
      </c>
      <c r="B10" s="10" t="s">
        <v>17</v>
      </c>
      <c r="C10" s="10">
        <v>31</v>
      </c>
      <c r="D10" s="11">
        <v>44018</v>
      </c>
      <c r="E10" s="12">
        <v>0.18</v>
      </c>
      <c r="F10" s="10" t="s">
        <v>18</v>
      </c>
      <c r="G10" s="10">
        <v>17</v>
      </c>
      <c r="H10" s="12" t="s">
        <v>19</v>
      </c>
      <c r="I10" s="13">
        <v>1115</v>
      </c>
      <c r="J10" s="14">
        <v>18955</v>
      </c>
      <c r="K10" s="15">
        <v>0</v>
      </c>
      <c r="L10" s="15">
        <v>1705.95</v>
      </c>
      <c r="M10" s="15">
        <v>1705.95</v>
      </c>
      <c r="N10" s="15"/>
      <c r="O10" s="15">
        <v>22366.9</v>
      </c>
      <c r="P10" s="16">
        <v>22366.9</v>
      </c>
    </row>
    <row r="11" spans="1:16" ht="15.75" x14ac:dyDescent="0.25">
      <c r="A11" s="17" t="s">
        <v>22</v>
      </c>
      <c r="B11" s="17" t="s">
        <v>17</v>
      </c>
      <c r="C11" s="17">
        <v>32</v>
      </c>
      <c r="D11" s="18">
        <v>43958</v>
      </c>
      <c r="E11" s="19">
        <v>1E-3</v>
      </c>
      <c r="F11" s="17" t="s">
        <v>20</v>
      </c>
      <c r="G11" s="17">
        <v>16</v>
      </c>
      <c r="H11" s="19" t="s">
        <v>19</v>
      </c>
      <c r="I11" s="20">
        <v>1115</v>
      </c>
      <c r="J11" s="21">
        <v>17840</v>
      </c>
      <c r="K11" s="22">
        <v>0</v>
      </c>
      <c r="L11" s="22">
        <v>8.92</v>
      </c>
      <c r="M11" s="22">
        <v>8.92</v>
      </c>
      <c r="N11" s="22"/>
      <c r="O11" s="22">
        <v>17857.839999999997</v>
      </c>
      <c r="P11" s="23">
        <v>17857.839999999997</v>
      </c>
    </row>
    <row r="12" spans="1:16" ht="15.75" x14ac:dyDescent="0.25">
      <c r="A12" s="10" t="s">
        <v>22</v>
      </c>
      <c r="B12" s="10" t="s">
        <v>17</v>
      </c>
      <c r="C12" s="10">
        <v>33</v>
      </c>
      <c r="D12" s="11">
        <v>43989</v>
      </c>
      <c r="E12" s="12">
        <v>0.28000000000000003</v>
      </c>
      <c r="F12" s="10" t="s">
        <v>18</v>
      </c>
      <c r="G12" s="10">
        <v>50</v>
      </c>
      <c r="H12" s="12" t="s">
        <v>19</v>
      </c>
      <c r="I12" s="13">
        <v>1115</v>
      </c>
      <c r="J12" s="14">
        <v>55750</v>
      </c>
      <c r="K12" s="15">
        <v>0</v>
      </c>
      <c r="L12" s="15">
        <v>7805.0000000000009</v>
      </c>
      <c r="M12" s="15">
        <v>7805.0000000000009</v>
      </c>
      <c r="N12" s="15"/>
      <c r="O12" s="15">
        <v>71360</v>
      </c>
      <c r="P12" s="16">
        <v>71360</v>
      </c>
    </row>
    <row r="13" spans="1:16" ht="15.75" x14ac:dyDescent="0.25">
      <c r="A13" s="17" t="s">
        <v>22</v>
      </c>
      <c r="B13" s="17" t="s">
        <v>17</v>
      </c>
      <c r="C13" s="17">
        <v>34</v>
      </c>
      <c r="D13" s="18">
        <v>44019</v>
      </c>
      <c r="E13" s="19">
        <v>0</v>
      </c>
      <c r="F13" s="17" t="s">
        <v>20</v>
      </c>
      <c r="G13" s="17">
        <v>21</v>
      </c>
      <c r="H13" s="19" t="s">
        <v>19</v>
      </c>
      <c r="I13" s="20">
        <v>1115</v>
      </c>
      <c r="J13" s="21">
        <v>23415</v>
      </c>
      <c r="K13" s="22">
        <v>0</v>
      </c>
      <c r="L13" s="22">
        <v>0</v>
      </c>
      <c r="M13" s="22">
        <v>0</v>
      </c>
      <c r="N13" s="22"/>
      <c r="O13" s="22">
        <v>23415</v>
      </c>
      <c r="P13" s="23">
        <v>23415</v>
      </c>
    </row>
    <row r="14" spans="1:16" ht="15.75" x14ac:dyDescent="0.25">
      <c r="A14" s="10" t="s">
        <v>16</v>
      </c>
      <c r="B14" s="10" t="s">
        <v>21</v>
      </c>
      <c r="C14" s="10">
        <v>35</v>
      </c>
      <c r="D14" s="11">
        <v>43959</v>
      </c>
      <c r="E14" s="24">
        <v>0.05</v>
      </c>
      <c r="F14" s="10" t="s">
        <v>18</v>
      </c>
      <c r="G14" s="25">
        <v>25</v>
      </c>
      <c r="H14" s="12" t="s">
        <v>19</v>
      </c>
      <c r="I14" s="13">
        <v>1115</v>
      </c>
      <c r="J14" s="14">
        <v>27875</v>
      </c>
      <c r="K14" s="15">
        <v>1393.75</v>
      </c>
      <c r="L14" s="15">
        <v>0</v>
      </c>
      <c r="M14" s="15">
        <v>0</v>
      </c>
      <c r="N14" s="15"/>
      <c r="O14" s="15">
        <v>29268.75</v>
      </c>
      <c r="P14" s="16">
        <v>29268.75</v>
      </c>
    </row>
    <row r="15" spans="1:16" ht="15.75" x14ac:dyDescent="0.25">
      <c r="A15" s="17" t="s">
        <v>16</v>
      </c>
      <c r="B15" s="17" t="s">
        <v>21</v>
      </c>
      <c r="C15" s="17">
        <v>36</v>
      </c>
      <c r="D15" s="18">
        <v>43990</v>
      </c>
      <c r="E15" s="26">
        <v>0.18</v>
      </c>
      <c r="F15" s="17" t="s">
        <v>20</v>
      </c>
      <c r="G15" s="27">
        <v>42</v>
      </c>
      <c r="H15" s="19" t="s">
        <v>19</v>
      </c>
      <c r="I15" s="20">
        <v>1115</v>
      </c>
      <c r="J15" s="21">
        <v>46830</v>
      </c>
      <c r="K15" s="22">
        <v>8429.4</v>
      </c>
      <c r="L15" s="22">
        <v>0</v>
      </c>
      <c r="M15" s="22">
        <v>0</v>
      </c>
      <c r="N15" s="22"/>
      <c r="O15" s="22">
        <v>55259.4</v>
      </c>
      <c r="P15" s="23">
        <v>55259.4</v>
      </c>
    </row>
    <row r="16" spans="1:16" ht="15.75" x14ac:dyDescent="0.25">
      <c r="A16" s="10" t="s">
        <v>16</v>
      </c>
      <c r="B16" s="10" t="s">
        <v>23</v>
      </c>
      <c r="C16" s="10">
        <v>37</v>
      </c>
      <c r="D16" s="11">
        <v>44020</v>
      </c>
      <c r="E16" s="24">
        <v>1E-3</v>
      </c>
      <c r="F16" s="10" t="s">
        <v>18</v>
      </c>
      <c r="G16" s="25">
        <v>32</v>
      </c>
      <c r="H16" s="12" t="s">
        <v>19</v>
      </c>
      <c r="I16" s="13">
        <v>1115</v>
      </c>
      <c r="J16" s="14">
        <v>35680</v>
      </c>
      <c r="K16" s="15">
        <v>0</v>
      </c>
      <c r="L16" s="15">
        <v>17.84</v>
      </c>
      <c r="M16" s="15">
        <v>17.84</v>
      </c>
      <c r="N16" s="15"/>
      <c r="O16" s="15">
        <v>35715.679999999993</v>
      </c>
      <c r="P16" s="16">
        <v>35715.679999999993</v>
      </c>
    </row>
    <row r="17" spans="1:16" ht="15.75" x14ac:dyDescent="0.25">
      <c r="A17" s="17" t="s">
        <v>16</v>
      </c>
      <c r="B17" s="17" t="s">
        <v>23</v>
      </c>
      <c r="C17" s="17">
        <v>38</v>
      </c>
      <c r="D17" s="18">
        <v>43960</v>
      </c>
      <c r="E17" s="26">
        <v>0</v>
      </c>
      <c r="F17" s="17" t="s">
        <v>20</v>
      </c>
      <c r="G17" s="27">
        <v>10</v>
      </c>
      <c r="H17" s="19" t="s">
        <v>19</v>
      </c>
      <c r="I17" s="20">
        <v>1115</v>
      </c>
      <c r="J17" s="21">
        <v>11150</v>
      </c>
      <c r="K17" s="22">
        <v>0</v>
      </c>
      <c r="L17" s="22">
        <v>0</v>
      </c>
      <c r="M17" s="22">
        <v>0</v>
      </c>
      <c r="N17" s="22"/>
      <c r="O17" s="22">
        <v>11150</v>
      </c>
      <c r="P17" s="23">
        <v>11150</v>
      </c>
    </row>
    <row r="18" spans="1:16" ht="15.75" x14ac:dyDescent="0.25">
      <c r="A18" s="10" t="s">
        <v>16</v>
      </c>
      <c r="B18" s="10" t="s">
        <v>23</v>
      </c>
      <c r="C18" s="10">
        <v>39</v>
      </c>
      <c r="D18" s="11">
        <v>43991</v>
      </c>
      <c r="E18" s="24">
        <v>0.28000000000000003</v>
      </c>
      <c r="F18" s="10" t="s">
        <v>18</v>
      </c>
      <c r="G18" s="25">
        <v>20</v>
      </c>
      <c r="H18" s="12" t="s">
        <v>19</v>
      </c>
      <c r="I18" s="13">
        <v>1115</v>
      </c>
      <c r="J18" s="14">
        <v>22300</v>
      </c>
      <c r="K18" s="15">
        <v>0</v>
      </c>
      <c r="L18" s="15">
        <v>3122.0000000000005</v>
      </c>
      <c r="M18" s="15">
        <v>3122.0000000000005</v>
      </c>
      <c r="N18" s="15"/>
      <c r="O18" s="15">
        <v>28544</v>
      </c>
      <c r="P18" s="16">
        <v>28544</v>
      </c>
    </row>
    <row r="19" spans="1:16" ht="15.75" x14ac:dyDescent="0.25">
      <c r="A19" s="17" t="s">
        <v>22</v>
      </c>
      <c r="B19" s="17" t="s">
        <v>23</v>
      </c>
      <c r="C19" s="17">
        <v>40</v>
      </c>
      <c r="D19" s="18">
        <v>44021</v>
      </c>
      <c r="E19" s="26">
        <v>0.12</v>
      </c>
      <c r="F19" s="17" t="s">
        <v>20</v>
      </c>
      <c r="G19" s="27">
        <v>30</v>
      </c>
      <c r="H19" s="19" t="s">
        <v>19</v>
      </c>
      <c r="I19" s="20">
        <v>1115</v>
      </c>
      <c r="J19" s="21">
        <v>33450</v>
      </c>
      <c r="K19" s="22">
        <v>0</v>
      </c>
      <c r="L19" s="22">
        <v>2007</v>
      </c>
      <c r="M19" s="22">
        <v>2007</v>
      </c>
      <c r="N19" s="22"/>
      <c r="O19" s="22">
        <v>37464</v>
      </c>
      <c r="P19" s="23">
        <v>37464</v>
      </c>
    </row>
    <row r="20" spans="1:16" ht="15.75" x14ac:dyDescent="0.25">
      <c r="A20" s="10" t="s">
        <v>22</v>
      </c>
      <c r="B20" s="10" t="s">
        <v>21</v>
      </c>
      <c r="C20" s="10">
        <v>41</v>
      </c>
      <c r="D20" s="11">
        <v>43961</v>
      </c>
      <c r="E20" s="24">
        <v>0.03</v>
      </c>
      <c r="F20" s="10" t="s">
        <v>18</v>
      </c>
      <c r="G20" s="25">
        <v>45</v>
      </c>
      <c r="H20" s="12" t="s">
        <v>19</v>
      </c>
      <c r="I20" s="13">
        <v>1115</v>
      </c>
      <c r="J20" s="14">
        <v>50175</v>
      </c>
      <c r="K20" s="15">
        <v>1505.25</v>
      </c>
      <c r="L20" s="15">
        <v>0</v>
      </c>
      <c r="M20" s="15">
        <v>0</v>
      </c>
      <c r="N20" s="15"/>
      <c r="O20" s="15">
        <v>51680.25</v>
      </c>
      <c r="P20" s="16">
        <v>51680.25</v>
      </c>
    </row>
    <row r="21" spans="1:16" ht="15.75" x14ac:dyDescent="0.25">
      <c r="A21" s="17" t="s">
        <v>22</v>
      </c>
      <c r="B21" s="17" t="s">
        <v>23</v>
      </c>
      <c r="C21" s="17">
        <v>42</v>
      </c>
      <c r="D21" s="18">
        <v>43992</v>
      </c>
      <c r="E21" s="26">
        <v>0.05</v>
      </c>
      <c r="F21" s="17" t="s">
        <v>20</v>
      </c>
      <c r="G21" s="27">
        <v>62</v>
      </c>
      <c r="H21" s="19" t="s">
        <v>19</v>
      </c>
      <c r="I21" s="20">
        <v>1115</v>
      </c>
      <c r="J21" s="21">
        <v>69130</v>
      </c>
      <c r="K21" s="22">
        <v>0</v>
      </c>
      <c r="L21" s="22">
        <v>1728.25</v>
      </c>
      <c r="M21" s="22">
        <v>1728.25</v>
      </c>
      <c r="N21" s="22"/>
      <c r="O21" s="22">
        <v>72586.5</v>
      </c>
      <c r="P21" s="23">
        <v>72586.5</v>
      </c>
    </row>
    <row r="22" spans="1:16" ht="15.75" x14ac:dyDescent="0.25">
      <c r="A22" s="10" t="s">
        <v>22</v>
      </c>
      <c r="B22" s="10" t="s">
        <v>23</v>
      </c>
      <c r="C22" s="10">
        <v>43</v>
      </c>
      <c r="D22" s="11">
        <v>44022</v>
      </c>
      <c r="E22" s="24">
        <v>0</v>
      </c>
      <c r="F22" s="10" t="s">
        <v>18</v>
      </c>
      <c r="G22" s="25">
        <v>12</v>
      </c>
      <c r="H22" s="12" t="s">
        <v>19</v>
      </c>
      <c r="I22" s="13">
        <v>1115</v>
      </c>
      <c r="J22" s="14">
        <v>13380</v>
      </c>
      <c r="K22" s="15">
        <v>0</v>
      </c>
      <c r="L22" s="15">
        <v>0</v>
      </c>
      <c r="M22" s="15">
        <v>0</v>
      </c>
      <c r="N22" s="15"/>
      <c r="O22" s="15">
        <v>13380</v>
      </c>
      <c r="P22" s="16">
        <v>13380</v>
      </c>
    </row>
    <row r="23" spans="1:16" ht="15.75" x14ac:dyDescent="0.25">
      <c r="A23" s="17" t="s">
        <v>22</v>
      </c>
      <c r="B23" s="17" t="s">
        <v>23</v>
      </c>
      <c r="C23" s="17">
        <v>44</v>
      </c>
      <c r="D23" s="18">
        <v>43962</v>
      </c>
      <c r="E23" s="26">
        <v>0</v>
      </c>
      <c r="F23" s="17" t="s">
        <v>20</v>
      </c>
      <c r="G23" s="27">
        <v>25</v>
      </c>
      <c r="H23" s="19" t="s">
        <v>19</v>
      </c>
      <c r="I23" s="20">
        <v>1115</v>
      </c>
      <c r="J23" s="21">
        <v>27875</v>
      </c>
      <c r="K23" s="22">
        <v>0</v>
      </c>
      <c r="L23" s="22">
        <v>0</v>
      </c>
      <c r="M23" s="22">
        <v>0</v>
      </c>
      <c r="N23" s="22"/>
      <c r="O23" s="22">
        <v>27875</v>
      </c>
      <c r="P23" s="23">
        <v>27875</v>
      </c>
    </row>
    <row r="24" spans="1:16" ht="15.75" x14ac:dyDescent="0.25">
      <c r="A24" s="10" t="s">
        <v>22</v>
      </c>
      <c r="B24" s="10" t="s">
        <v>23</v>
      </c>
      <c r="C24" s="10">
        <v>45</v>
      </c>
      <c r="D24" s="11">
        <v>43993</v>
      </c>
      <c r="E24" s="24">
        <v>0.12</v>
      </c>
      <c r="F24" s="10" t="s">
        <v>18</v>
      </c>
      <c r="G24" s="25">
        <v>45</v>
      </c>
      <c r="H24" s="12" t="s">
        <v>19</v>
      </c>
      <c r="I24" s="13">
        <v>1115</v>
      </c>
      <c r="J24" s="14">
        <v>50175</v>
      </c>
      <c r="K24" s="15">
        <v>0</v>
      </c>
      <c r="L24" s="15">
        <v>3010.5</v>
      </c>
      <c r="M24" s="15">
        <v>3010.5</v>
      </c>
      <c r="N24" s="15"/>
      <c r="O24" s="15">
        <v>56196</v>
      </c>
      <c r="P24" s="16">
        <v>56196</v>
      </c>
    </row>
    <row r="25" spans="1:16" ht="15.75" x14ac:dyDescent="0.25">
      <c r="A25" s="17" t="s">
        <v>22</v>
      </c>
      <c r="B25" s="17" t="s">
        <v>23</v>
      </c>
      <c r="C25" s="17">
        <v>46</v>
      </c>
      <c r="D25" s="18">
        <v>44023</v>
      </c>
      <c r="E25" s="26">
        <v>0.12</v>
      </c>
      <c r="F25" s="17" t="s">
        <v>20</v>
      </c>
      <c r="G25" s="27">
        <v>20</v>
      </c>
      <c r="H25" s="19" t="s">
        <v>19</v>
      </c>
      <c r="I25" s="20">
        <v>1115</v>
      </c>
      <c r="J25" s="21">
        <v>22300</v>
      </c>
      <c r="K25" s="22">
        <v>0</v>
      </c>
      <c r="L25" s="22">
        <v>1338</v>
      </c>
      <c r="M25" s="22">
        <v>1338</v>
      </c>
      <c r="N25" s="22"/>
      <c r="O25" s="22">
        <v>24976</v>
      </c>
      <c r="P25" s="23">
        <v>24976</v>
      </c>
    </row>
    <row r="26" spans="1:16" ht="15.75" x14ac:dyDescent="0.25">
      <c r="A26" s="10" t="s">
        <v>22</v>
      </c>
      <c r="B26" s="10" t="s">
        <v>23</v>
      </c>
      <c r="C26" s="10">
        <v>47</v>
      </c>
      <c r="D26" s="11">
        <v>43963</v>
      </c>
      <c r="E26" s="24">
        <v>0.03</v>
      </c>
      <c r="F26" s="10" t="s">
        <v>18</v>
      </c>
      <c r="G26" s="25">
        <v>10</v>
      </c>
      <c r="H26" s="12" t="s">
        <v>19</v>
      </c>
      <c r="I26" s="13">
        <v>1115</v>
      </c>
      <c r="J26" s="14">
        <v>11150</v>
      </c>
      <c r="K26" s="15">
        <v>0</v>
      </c>
      <c r="L26" s="15">
        <v>167.25</v>
      </c>
      <c r="M26" s="15">
        <v>167.25</v>
      </c>
      <c r="N26" s="15"/>
      <c r="O26" s="15">
        <v>11484.5</v>
      </c>
      <c r="P26" s="16">
        <v>11484.5</v>
      </c>
    </row>
    <row r="27" spans="1:16" ht="15.75" x14ac:dyDescent="0.25">
      <c r="A27" s="17" t="s">
        <v>16</v>
      </c>
      <c r="B27" s="17" t="s">
        <v>23</v>
      </c>
      <c r="C27" s="17">
        <v>48</v>
      </c>
      <c r="D27" s="18">
        <v>43994</v>
      </c>
      <c r="E27" s="26">
        <v>0.28000000000000003</v>
      </c>
      <c r="F27" s="17" t="s">
        <v>20</v>
      </c>
      <c r="G27" s="27">
        <v>35</v>
      </c>
      <c r="H27" s="19" t="s">
        <v>19</v>
      </c>
      <c r="I27" s="20">
        <v>1115</v>
      </c>
      <c r="J27" s="21">
        <v>39025</v>
      </c>
      <c r="K27" s="22">
        <v>0</v>
      </c>
      <c r="L27" s="22">
        <v>5463.5000000000009</v>
      </c>
      <c r="M27" s="22">
        <v>5463.5000000000009</v>
      </c>
      <c r="N27" s="22"/>
      <c r="O27" s="22">
        <v>49952</v>
      </c>
      <c r="P27" s="23">
        <v>49952</v>
      </c>
    </row>
    <row r="28" spans="1:16" ht="15.75" x14ac:dyDescent="0.25">
      <c r="A28" s="10" t="s">
        <v>16</v>
      </c>
      <c r="B28" s="10" t="s">
        <v>23</v>
      </c>
      <c r="C28" s="10">
        <v>49</v>
      </c>
      <c r="D28" s="11">
        <v>44024</v>
      </c>
      <c r="E28" s="24">
        <v>0.12</v>
      </c>
      <c r="F28" s="10" t="s">
        <v>18</v>
      </c>
      <c r="G28" s="25">
        <v>15</v>
      </c>
      <c r="H28" s="12" t="s">
        <v>19</v>
      </c>
      <c r="I28" s="13">
        <v>1115</v>
      </c>
      <c r="J28" s="14">
        <v>16725</v>
      </c>
      <c r="K28" s="15">
        <v>0</v>
      </c>
      <c r="L28" s="15">
        <v>1003.5</v>
      </c>
      <c r="M28" s="15">
        <v>1003.5</v>
      </c>
      <c r="N28" s="15"/>
      <c r="O28" s="15">
        <v>18732</v>
      </c>
      <c r="P28" s="16">
        <v>18732</v>
      </c>
    </row>
    <row r="29" spans="1:16" ht="15.75" x14ac:dyDescent="0.25">
      <c r="A29" s="17" t="s">
        <v>16</v>
      </c>
      <c r="B29" s="17" t="s">
        <v>23</v>
      </c>
      <c r="C29" s="17">
        <v>50</v>
      </c>
      <c r="D29" s="18">
        <v>44317</v>
      </c>
      <c r="E29" s="26">
        <v>0.03</v>
      </c>
      <c r="F29" s="17" t="s">
        <v>20</v>
      </c>
      <c r="G29" s="27">
        <v>25</v>
      </c>
      <c r="H29" s="19" t="s">
        <v>19</v>
      </c>
      <c r="I29" s="20">
        <v>1115</v>
      </c>
      <c r="J29" s="21">
        <v>27875</v>
      </c>
      <c r="K29" s="22">
        <v>0</v>
      </c>
      <c r="L29" s="22">
        <v>418.125</v>
      </c>
      <c r="M29" s="22">
        <v>418.125</v>
      </c>
      <c r="N29" s="22"/>
      <c r="O29" s="22">
        <v>28711.25</v>
      </c>
      <c r="P29" s="23">
        <v>28711.25</v>
      </c>
    </row>
    <row r="30" spans="1:16" ht="15.75" x14ac:dyDescent="0.25">
      <c r="A30" s="10" t="s">
        <v>16</v>
      </c>
      <c r="B30" s="10" t="s">
        <v>23</v>
      </c>
      <c r="C30" s="10">
        <v>51</v>
      </c>
      <c r="D30" s="11">
        <v>44348</v>
      </c>
      <c r="E30" s="24">
        <v>0.28000000000000003</v>
      </c>
      <c r="F30" s="10" t="s">
        <v>18</v>
      </c>
      <c r="G30" s="25">
        <v>10</v>
      </c>
      <c r="H30" s="12" t="s">
        <v>19</v>
      </c>
      <c r="I30" s="13">
        <v>1115</v>
      </c>
      <c r="J30" s="14">
        <v>11150</v>
      </c>
      <c r="K30" s="15">
        <v>0</v>
      </c>
      <c r="L30" s="15">
        <v>1561.0000000000002</v>
      </c>
      <c r="M30" s="15">
        <v>1561.0000000000002</v>
      </c>
      <c r="N30" s="15"/>
      <c r="O30" s="15">
        <v>14272</v>
      </c>
      <c r="P30" s="16">
        <v>14272</v>
      </c>
    </row>
    <row r="31" spans="1:16" ht="15.75" x14ac:dyDescent="0.25">
      <c r="A31" s="17" t="s">
        <v>16</v>
      </c>
      <c r="B31" s="17" t="s">
        <v>23</v>
      </c>
      <c r="C31" s="17">
        <v>52</v>
      </c>
      <c r="D31" s="18">
        <v>44378</v>
      </c>
      <c r="E31" s="26">
        <v>0.05</v>
      </c>
      <c r="F31" s="17" t="s">
        <v>20</v>
      </c>
      <c r="G31" s="27">
        <v>5</v>
      </c>
      <c r="H31" s="19" t="s">
        <v>19</v>
      </c>
      <c r="I31" s="20">
        <v>1115</v>
      </c>
      <c r="J31" s="21">
        <v>5575</v>
      </c>
      <c r="K31" s="22">
        <v>0</v>
      </c>
      <c r="L31" s="22">
        <v>139.375</v>
      </c>
      <c r="M31" s="22">
        <v>139.375</v>
      </c>
      <c r="N31" s="22"/>
      <c r="O31" s="22">
        <v>5853.75</v>
      </c>
      <c r="P31" s="23">
        <v>5853.75</v>
      </c>
    </row>
    <row r="32" spans="1:16" ht="15.75" x14ac:dyDescent="0.25">
      <c r="A32" s="10" t="s">
        <v>22</v>
      </c>
      <c r="B32" s="10" t="s">
        <v>23</v>
      </c>
      <c r="C32" s="10">
        <v>53</v>
      </c>
      <c r="D32" s="11">
        <v>44318</v>
      </c>
      <c r="E32" s="24">
        <v>0.03</v>
      </c>
      <c r="F32" s="10" t="s">
        <v>18</v>
      </c>
      <c r="G32" s="25">
        <v>8</v>
      </c>
      <c r="H32" s="12" t="s">
        <v>19</v>
      </c>
      <c r="I32" s="13">
        <v>1115</v>
      </c>
      <c r="J32" s="14">
        <v>8920</v>
      </c>
      <c r="K32" s="15">
        <v>0</v>
      </c>
      <c r="L32" s="15">
        <v>133.79999999999998</v>
      </c>
      <c r="M32" s="15">
        <v>133.79999999999998</v>
      </c>
      <c r="N32" s="15"/>
      <c r="O32" s="15">
        <v>9187.5999999999985</v>
      </c>
      <c r="P32" s="16">
        <v>9187.5999999999985</v>
      </c>
    </row>
    <row r="33" spans="1:16" ht="15.75" x14ac:dyDescent="0.25">
      <c r="A33" s="17" t="s">
        <v>22</v>
      </c>
      <c r="B33" s="17" t="s">
        <v>23</v>
      </c>
      <c r="C33" s="17">
        <v>54</v>
      </c>
      <c r="D33" s="18">
        <v>44349</v>
      </c>
      <c r="E33" s="26">
        <v>0.05</v>
      </c>
      <c r="F33" s="17" t="s">
        <v>20</v>
      </c>
      <c r="G33" s="27">
        <v>10</v>
      </c>
      <c r="H33" s="19" t="s">
        <v>19</v>
      </c>
      <c r="I33" s="20">
        <v>1115</v>
      </c>
      <c r="J33" s="21">
        <v>11150</v>
      </c>
      <c r="K33" s="22">
        <v>0</v>
      </c>
      <c r="L33" s="22">
        <v>278.75</v>
      </c>
      <c r="M33" s="22">
        <v>278.75</v>
      </c>
      <c r="N33" s="22"/>
      <c r="O33" s="22">
        <v>11707.5</v>
      </c>
      <c r="P33" s="23">
        <v>11707.5</v>
      </c>
    </row>
    <row r="34" spans="1:16" ht="15.75" x14ac:dyDescent="0.25">
      <c r="A34" s="10" t="s">
        <v>22</v>
      </c>
      <c r="B34" s="10" t="s">
        <v>23</v>
      </c>
      <c r="C34" s="10">
        <v>55</v>
      </c>
      <c r="D34" s="11">
        <v>44379</v>
      </c>
      <c r="E34" s="24">
        <v>0.05</v>
      </c>
      <c r="F34" s="10" t="s">
        <v>18</v>
      </c>
      <c r="G34" s="25">
        <v>2</v>
      </c>
      <c r="H34" s="12" t="s">
        <v>19</v>
      </c>
      <c r="I34" s="13">
        <v>1115</v>
      </c>
      <c r="J34" s="14">
        <v>2230</v>
      </c>
      <c r="K34" s="15">
        <v>0</v>
      </c>
      <c r="L34" s="15">
        <v>55.75</v>
      </c>
      <c r="M34" s="15">
        <v>55.75</v>
      </c>
      <c r="N34" s="15"/>
      <c r="O34" s="15">
        <v>2341.5</v>
      </c>
      <c r="P34" s="16">
        <v>2341.5</v>
      </c>
    </row>
    <row r="35" spans="1:16" ht="15.75" x14ac:dyDescent="0.25">
      <c r="A35" s="17" t="s">
        <v>22</v>
      </c>
      <c r="B35" s="17" t="s">
        <v>23</v>
      </c>
      <c r="C35" s="17">
        <v>56</v>
      </c>
      <c r="D35" s="18">
        <v>44319</v>
      </c>
      <c r="E35" s="26">
        <v>0.28000000000000003</v>
      </c>
      <c r="F35" s="17" t="s">
        <v>20</v>
      </c>
      <c r="G35" s="27">
        <v>4</v>
      </c>
      <c r="H35" s="19" t="s">
        <v>19</v>
      </c>
      <c r="I35" s="20">
        <v>1115</v>
      </c>
      <c r="J35" s="21">
        <v>4460</v>
      </c>
      <c r="K35" s="22">
        <v>0</v>
      </c>
      <c r="L35" s="22">
        <v>624.40000000000009</v>
      </c>
      <c r="M35" s="22">
        <v>624.40000000000009</v>
      </c>
      <c r="N35" s="22"/>
      <c r="O35" s="22">
        <v>5708.7999999999993</v>
      </c>
      <c r="P35" s="23">
        <v>5708.7999999999993</v>
      </c>
    </row>
    <row r="36" spans="1:16" ht="15.75" x14ac:dyDescent="0.25">
      <c r="A36" s="10" t="s">
        <v>16</v>
      </c>
      <c r="B36" s="10" t="s">
        <v>23</v>
      </c>
      <c r="C36" s="10">
        <v>57</v>
      </c>
      <c r="D36" s="11">
        <v>44350</v>
      </c>
      <c r="E36" s="24">
        <v>1E-3</v>
      </c>
      <c r="F36" s="10" t="s">
        <v>18</v>
      </c>
      <c r="G36" s="25">
        <v>6</v>
      </c>
      <c r="H36" s="12" t="s">
        <v>19</v>
      </c>
      <c r="I36" s="13">
        <v>1115</v>
      </c>
      <c r="J36" s="14">
        <v>6690</v>
      </c>
      <c r="K36" s="15">
        <v>0</v>
      </c>
      <c r="L36" s="15">
        <v>3.3450000000000002</v>
      </c>
      <c r="M36" s="15">
        <v>3.3450000000000002</v>
      </c>
      <c r="N36" s="15"/>
      <c r="O36" s="15">
        <v>6696.6900000000005</v>
      </c>
      <c r="P36" s="16">
        <v>6696.6900000000005</v>
      </c>
    </row>
    <row r="37" spans="1:16" ht="15.75" x14ac:dyDescent="0.25">
      <c r="A37" s="28" t="s">
        <v>16</v>
      </c>
      <c r="B37" s="28" t="s">
        <v>23</v>
      </c>
      <c r="C37" s="28">
        <v>58</v>
      </c>
      <c r="D37" s="29">
        <v>44380</v>
      </c>
      <c r="E37" s="30">
        <v>0</v>
      </c>
      <c r="F37" s="28" t="s">
        <v>20</v>
      </c>
      <c r="G37" s="31">
        <v>5</v>
      </c>
      <c r="H37" s="32" t="s">
        <v>19</v>
      </c>
      <c r="I37" s="33">
        <v>1115</v>
      </c>
      <c r="J37" s="34">
        <v>5575</v>
      </c>
      <c r="K37" s="35">
        <v>0</v>
      </c>
      <c r="L37" s="35">
        <v>0</v>
      </c>
      <c r="M37" s="35">
        <v>0</v>
      </c>
      <c r="N37" s="35"/>
      <c r="O37" s="35">
        <v>5575</v>
      </c>
      <c r="P37" s="36">
        <v>5575</v>
      </c>
    </row>
  </sheetData>
  <conditionalFormatting sqref="A10:A13 A19:A26 A32:A35">
    <cfRule type="expression" dxfId="72" priority="9">
      <formula>IF(ISBLANK(#REF!), 0, SEARCH(#REF!,$A10&amp;#REF!&amp;$B4&amp;$C4&amp;#REF!&amp;$J4))</formula>
    </cfRule>
  </conditionalFormatting>
  <conditionalFormatting sqref="A12:A13">
    <cfRule type="expression" dxfId="71" priority="6">
      <formula>IF(ISBLANK(#REF!), 0, SEARCH(#REF!,$A12&amp;#REF!&amp;$B6&amp;$C6&amp;#REF!&amp;$E6))</formula>
    </cfRule>
  </conditionalFormatting>
  <conditionalFormatting sqref="A21:A22 A25:A26 A34:A35">
    <cfRule type="expression" dxfId="70" priority="13">
      <formula>IF(ISBLANK(#REF!), 0, SEARCH(#REF!,$A21&amp;#REF!&amp;$B15&amp;$C15&amp;#REF!&amp;$E15))</formula>
    </cfRule>
  </conditionalFormatting>
  <conditionalFormatting sqref="B14:B37 E16:E37 G16:G37 J16:J37">
    <cfRule type="expression" dxfId="69" priority="2">
      <formula>IF(ISBLANK(#REF!), 0, SEARCH(#REF!,$A14&amp;#REF!&amp;$B14&amp;$D14&amp;#REF!&amp;$J14))</formula>
    </cfRule>
  </conditionalFormatting>
  <conditionalFormatting sqref="B16:B37 E16:E37 G16:G37 J16:J37">
    <cfRule type="expression" dxfId="68" priority="1">
      <formula>IF(ISBLANK(#REF!), 0, SEARCH(#REF!,$A16&amp;#REF!&amp;$B16&amp;$D16&amp;#REF!&amp;$E16))</formula>
    </cfRule>
  </conditionalFormatting>
  <conditionalFormatting sqref="C2:C3 E2:J3 A4:A9 B4:C13 F4:F37 H4:I37 C14:C37">
    <cfRule type="expression" dxfId="67" priority="5">
      <formula>IF(ISBLANK(#REF!), 0, SEARCH(#REF!,$A2&amp;#REF!&amp;$B2&amp;$C2&amp;#REF!&amp;$J2))</formula>
    </cfRule>
  </conditionalFormatting>
  <conditionalFormatting sqref="D2:D37 A16:A18 A29:A31 A37">
    <cfRule type="expression" dxfId="66" priority="12">
      <formula>IF(ISBLANK(#REF!), 0, SEARCH(#REF!,$A2&amp;#REF!&amp;$B2&amp;$C2&amp;#REF!&amp;$J2))</formula>
    </cfRule>
  </conditionalFormatting>
  <conditionalFormatting sqref="E4:E9 G4:G9 J4:J9">
    <cfRule type="expression" dxfId="65" priority="10">
      <formula>IF(ISBLANK(#REF!), 0, SEARCH(#REF!,$A10&amp;#REF!&amp;$B4&amp;$C4&amp;#REF!&amp;$J4))</formula>
    </cfRule>
  </conditionalFormatting>
  <conditionalFormatting sqref="E6:E9 G6:G9 J6:J9">
    <cfRule type="expression" dxfId="64" priority="7">
      <formula>IF(ISBLANK(#REF!), 0, SEARCH(#REF!,$A12&amp;#REF!&amp;$B6&amp;$C6&amp;#REF!&amp;$E6))</formula>
    </cfRule>
  </conditionalFormatting>
  <conditionalFormatting sqref="E10:E13 G10:G13 J10:J13">
    <cfRule type="expression" dxfId="63" priority="8">
      <formula>IF(ISBLANK(#REF!), 0, SEARCH(#REF!,#REF!&amp;#REF!&amp;$B10&amp;$C10&amp;#REF!&amp;$E10))</formula>
    </cfRule>
    <cfRule type="expression" dxfId="62" priority="11">
      <formula>IF(ISBLANK(#REF!), 0, SEARCH(#REF!,#REF!&amp;#REF!&amp;$B10&amp;$C10&amp;#REF!&amp;$J10))</formula>
    </cfRule>
  </conditionalFormatting>
  <conditionalFormatting sqref="E14:E15 G14:G15 J14:J15">
    <cfRule type="expression" dxfId="61" priority="3">
      <formula>IF(ISBLANK(#REF!), 0, SEARCH(#REF!,#REF!&amp;#REF!&amp;$B14&amp;$D14&amp;#REF!&amp;$E14))</formula>
    </cfRule>
    <cfRule type="expression" dxfId="60" priority="4">
      <formula>IF(ISBLANK(#REF!), 0, SEARCH(#REF!,#REF!&amp;#REF!&amp;$B14&amp;$D14&amp;#REF!&amp;$J14))</formula>
    </cfRule>
  </conditionalFormatting>
  <dataValidations count="4">
    <dataValidation operator="equal" allowBlank="1" showInputMessage="1" showErrorMessage="1" sqref="A2:A37" xr:uid="{00000000-0002-0000-0600-000000000000}"/>
    <dataValidation type="list" allowBlank="1" showInputMessage="1" showErrorMessage="1" sqref="B2:B37" xr:uid="{00000000-0002-0000-0600-000001000000}">
      <formula1>"LOCAL,INTERSTATE"</formula1>
    </dataValidation>
    <dataValidation type="list" allowBlank="1" showInputMessage="1" showErrorMessage="1" sqref="E2:E37" xr:uid="{00000000-0002-0000-0600-000002000000}">
      <formula1>$S$2:$S$8</formula1>
    </dataValidation>
    <dataValidation type="list" allowBlank="1" showInputMessage="1" showErrorMessage="1" sqref="H2:H37" xr:uid="{00000000-0002-0000-0600-000003000000}">
      <formula1>"PCS,NOS,KG,DOZ"</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380E6-F786-47C1-9DF8-001E11E9E4DD}">
  <dimension ref="B2:C6"/>
  <sheetViews>
    <sheetView workbookViewId="0">
      <selection activeCell="G11" sqref="G11"/>
    </sheetView>
  </sheetViews>
  <sheetFormatPr defaultRowHeight="15" x14ac:dyDescent="0.25"/>
  <cols>
    <col min="2" max="2" width="20.28515625" bestFit="1" customWidth="1"/>
    <col min="3" max="3" width="17.85546875" bestFit="1" customWidth="1"/>
  </cols>
  <sheetData>
    <row r="2" spans="2:3" ht="21" x14ac:dyDescent="0.35">
      <c r="B2" s="5" t="s">
        <v>35</v>
      </c>
      <c r="C2" s="5" t="s">
        <v>40</v>
      </c>
    </row>
    <row r="3" spans="2:3" ht="21" x14ac:dyDescent="0.35">
      <c r="B3" s="5" t="s">
        <v>36</v>
      </c>
      <c r="C3" s="5" t="s">
        <v>41</v>
      </c>
    </row>
    <row r="4" spans="2:3" ht="21" x14ac:dyDescent="0.35">
      <c r="B4" s="5" t="s">
        <v>37</v>
      </c>
      <c r="C4" s="5" t="s">
        <v>42</v>
      </c>
    </row>
    <row r="5" spans="2:3" ht="21" x14ac:dyDescent="0.35">
      <c r="B5" s="5" t="s">
        <v>38</v>
      </c>
      <c r="C5" s="5" t="s">
        <v>43</v>
      </c>
    </row>
    <row r="6" spans="2:3" ht="21" x14ac:dyDescent="0.35">
      <c r="B6" s="5" t="s">
        <v>39</v>
      </c>
      <c r="C6" s="5" t="s">
        <v>44</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FIRM WISE</vt:lpstr>
      <vt:lpstr>MONTH WISE</vt:lpstr>
      <vt:lpstr>TAX WISE</vt:lpstr>
      <vt:lpstr>PRODUCT WISE</vt:lpstr>
      <vt:lpstr>Firm_wise</vt:lpstr>
      <vt:lpstr>Month_wise</vt:lpstr>
      <vt:lpstr>Tax_rate</vt:lpstr>
      <vt:lpstr>Product_wise</vt:lpstr>
      <vt:lpstr>State wise</vt:lpstr>
      <vt:lpstr>Dashboard</vt:lpstr>
      <vt:lpstr>DATA</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Daood</dc:creator>
  <cp:lastModifiedBy>Office</cp:lastModifiedBy>
  <dcterms:created xsi:type="dcterms:W3CDTF">2020-04-22T22:10:47Z</dcterms:created>
  <dcterms:modified xsi:type="dcterms:W3CDTF">2026-01-20T12:47:43Z</dcterms:modified>
</cp:coreProperties>
</file>